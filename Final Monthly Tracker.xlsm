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ha\OneDrive\Desktop\Project\Excel Project\"/>
    </mc:Choice>
  </mc:AlternateContent>
  <xr:revisionPtr revIDLastSave="9" documentId="8_{F59BEF99-BCBD-4AC0-A02D-7B8CB3970AF8}" xr6:coauthVersionLast="36" xr6:coauthVersionMax="36" xr10:uidLastSave="{A464B429-3AD0-4F41-9683-4BDA494E26A4}"/>
  <bookViews>
    <workbookView xWindow="0" yWindow="0" windowWidth="17256" windowHeight="6636" firstSheet="2" activeTab="4" xr2:uid="{D161A145-0B74-4E5E-98E9-C6ECC2D0636B}"/>
  </bookViews>
  <sheets>
    <sheet name="Setup" sheetId="1" r:id="rId1"/>
    <sheet name="Monthly_log" sheetId="2" r:id="rId2"/>
    <sheet name="Database" sheetId="6" r:id="rId3"/>
    <sheet name="Calculations" sheetId="4" r:id="rId4"/>
    <sheet name="Dashboard" sheetId="7" r:id="rId5"/>
  </sheets>
  <definedNames>
    <definedName name="daily">Calculations!$D$1:$H$32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  <c r="K10" i="4" s="1"/>
  <c r="C39" i="7" l="1" a="1"/>
  <c r="C39" i="7" s="1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N39" i="7" l="1"/>
  <c r="AG39" i="7"/>
  <c r="AE39" i="7"/>
  <c r="Q39" i="7"/>
  <c r="AF39" i="7"/>
  <c r="AD39" i="7"/>
  <c r="AC39" i="7"/>
  <c r="R39" i="7"/>
  <c r="P39" i="7"/>
  <c r="O39" i="7"/>
  <c r="M39" i="7"/>
  <c r="L39" i="7"/>
  <c r="AA39" i="7"/>
  <c r="J39" i="7"/>
  <c r="Y39" i="7"/>
  <c r="W39" i="7"/>
  <c r="D39" i="7"/>
  <c r="AB39" i="7"/>
  <c r="K39" i="7"/>
  <c r="Z39" i="7"/>
  <c r="I39" i="7"/>
  <c r="X39" i="7"/>
  <c r="H39" i="7"/>
  <c r="G39" i="7"/>
  <c r="V39" i="7"/>
  <c r="F39" i="7"/>
  <c r="U39" i="7"/>
  <c r="E39" i="7"/>
  <c r="T39" i="7"/>
  <c r="S39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C17" i="7"/>
  <c r="C18" i="7"/>
  <c r="C19" i="7"/>
  <c r="C20" i="7"/>
  <c r="C21" i="7"/>
  <c r="C22" i="7"/>
  <c r="C23" i="7"/>
  <c r="C24" i="7"/>
  <c r="C25" i="7"/>
  <c r="C26" i="7"/>
  <c r="C27" i="7"/>
  <c r="C28" i="7"/>
  <c r="C16" i="7"/>
  <c r="B17" i="7"/>
  <c r="B18" i="7"/>
  <c r="B19" i="7"/>
  <c r="B20" i="7"/>
  <c r="B21" i="7"/>
  <c r="B22" i="7"/>
  <c r="B23" i="7"/>
  <c r="B24" i="7"/>
  <c r="B25" i="7"/>
  <c r="B26" i="7"/>
  <c r="B27" i="7"/>
  <c r="B28" i="7"/>
  <c r="B16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C15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C14" i="7"/>
  <c r="E8" i="7" l="1"/>
  <c r="B8" i="7"/>
  <c r="T3" i="4"/>
  <c r="T4" i="4"/>
  <c r="T5" i="4"/>
  <c r="T6" i="4"/>
  <c r="T7" i="4"/>
  <c r="T8" i="4"/>
  <c r="T9" i="4"/>
  <c r="T10" i="4"/>
  <c r="T11" i="4"/>
  <c r="T12" i="4"/>
  <c r="T13" i="4"/>
  <c r="T14" i="4"/>
  <c r="T2" i="4"/>
  <c r="S3" i="4"/>
  <c r="S4" i="4"/>
  <c r="S5" i="4"/>
  <c r="S6" i="4"/>
  <c r="S7" i="4"/>
  <c r="S8" i="4"/>
  <c r="S9" i="4"/>
  <c r="S10" i="4"/>
  <c r="S11" i="4"/>
  <c r="S12" i="4"/>
  <c r="S13" i="4"/>
  <c r="S14" i="4"/>
  <c r="S2" i="4"/>
  <c r="B6" i="4"/>
  <c r="B1" i="4" l="1"/>
  <c r="K2" i="4" l="1"/>
  <c r="D2" i="4"/>
  <c r="K3" i="4"/>
  <c r="B2" i="4"/>
  <c r="E2" i="4"/>
  <c r="A5" i="2"/>
  <c r="A6" i="2"/>
  <c r="A7" i="2"/>
  <c r="A8" i="2"/>
  <c r="A9" i="2"/>
  <c r="A10" i="2"/>
  <c r="A11" i="2"/>
  <c r="A12" i="2"/>
  <c r="A13" i="2"/>
  <c r="A14" i="2"/>
  <c r="A15" i="2"/>
  <c r="A16" i="2"/>
  <c r="A4" i="2"/>
  <c r="B1" i="2"/>
  <c r="B3" i="2" s="1"/>
  <c r="G2" i="4" l="1"/>
  <c r="B4" i="4"/>
  <c r="U3" i="4"/>
  <c r="V3" i="4" s="1"/>
  <c r="U11" i="4"/>
  <c r="V11" i="4" s="1"/>
  <c r="U12" i="4"/>
  <c r="V12" i="4" s="1"/>
  <c r="U14" i="4"/>
  <c r="V14" i="4" s="1"/>
  <c r="U2" i="4"/>
  <c r="V2" i="4" s="1"/>
  <c r="B9" i="4"/>
  <c r="U5" i="4"/>
  <c r="V5" i="4" s="1"/>
  <c r="U10" i="4"/>
  <c r="V10" i="4" s="1"/>
  <c r="U4" i="4"/>
  <c r="V4" i="4" s="1"/>
  <c r="U13" i="4"/>
  <c r="V13" i="4" s="1"/>
  <c r="U6" i="4"/>
  <c r="V6" i="4" s="1"/>
  <c r="U7" i="4"/>
  <c r="V7" i="4" s="1"/>
  <c r="U8" i="4"/>
  <c r="V8" i="4" s="1"/>
  <c r="U9" i="4"/>
  <c r="V9" i="4" s="1"/>
  <c r="D3" i="4"/>
  <c r="E3" i="4" s="1"/>
  <c r="G3" i="4" s="1"/>
  <c r="L3" i="4"/>
  <c r="K4" i="4"/>
  <c r="L2" i="4"/>
  <c r="C1" i="2"/>
  <c r="C3" i="2" s="1"/>
  <c r="B2" i="2"/>
  <c r="H3" i="4" l="1"/>
  <c r="M2" i="4"/>
  <c r="P2" i="4"/>
  <c r="M3" i="4"/>
  <c r="P3" i="4"/>
  <c r="L4" i="4"/>
  <c r="K5" i="4"/>
  <c r="D4" i="4"/>
  <c r="E4" i="4" s="1"/>
  <c r="G4" i="4" s="1"/>
  <c r="C2" i="2"/>
  <c r="D1" i="2"/>
  <c r="D3" i="2" s="1"/>
  <c r="N3" i="4" l="1"/>
  <c r="N2" i="4"/>
  <c r="H2" i="4"/>
  <c r="Q2" i="4"/>
  <c r="M4" i="4"/>
  <c r="P4" i="4"/>
  <c r="Q3" i="4"/>
  <c r="D5" i="4"/>
  <c r="E5" i="4" s="1"/>
  <c r="G5" i="4" s="1"/>
  <c r="H4" i="4"/>
  <c r="L5" i="4"/>
  <c r="P5" i="4" s="1"/>
  <c r="K6" i="4"/>
  <c r="E1" i="2"/>
  <c r="E3" i="2" s="1"/>
  <c r="D2" i="2"/>
  <c r="F1" i="2"/>
  <c r="F3" i="2" s="1"/>
  <c r="E2" i="2"/>
  <c r="O3" i="4" l="1"/>
  <c r="J32" i="7"/>
  <c r="O2" i="4"/>
  <c r="C32" i="7"/>
  <c r="N4" i="4"/>
  <c r="M5" i="4"/>
  <c r="Q4" i="4"/>
  <c r="L6" i="4"/>
  <c r="D6" i="4"/>
  <c r="E6" i="4" s="1"/>
  <c r="G6" i="4" s="1"/>
  <c r="G1" i="2"/>
  <c r="G3" i="2" s="1"/>
  <c r="F2" i="2"/>
  <c r="O4" i="4" l="1"/>
  <c r="Q32" i="7"/>
  <c r="H5" i="4"/>
  <c r="N5" i="4"/>
  <c r="Q5" i="4"/>
  <c r="M6" i="4"/>
  <c r="P6" i="4"/>
  <c r="D7" i="4"/>
  <c r="E7" i="4" s="1"/>
  <c r="G7" i="4" s="1"/>
  <c r="H1" i="2"/>
  <c r="H3" i="2" s="1"/>
  <c r="G2" i="2"/>
  <c r="O5" i="4" l="1"/>
  <c r="X32" i="7"/>
  <c r="H6" i="4"/>
  <c r="N6" i="4"/>
  <c r="Q6" i="4"/>
  <c r="D8" i="4"/>
  <c r="E8" i="4" s="1"/>
  <c r="G8" i="4" s="1"/>
  <c r="H2" i="2"/>
  <c r="I1" i="2"/>
  <c r="I3" i="2" s="1"/>
  <c r="O6" i="4" l="1"/>
  <c r="AE32" i="7"/>
  <c r="H7" i="4"/>
  <c r="D9" i="4"/>
  <c r="E9" i="4" s="1"/>
  <c r="G9" i="4" s="1"/>
  <c r="J1" i="2"/>
  <c r="J3" i="2" s="1"/>
  <c r="I2" i="2"/>
  <c r="H8" i="4" l="1"/>
  <c r="D10" i="4"/>
  <c r="E10" i="4" s="1"/>
  <c r="G10" i="4" s="1"/>
  <c r="J2" i="2"/>
  <c r="K1" i="2"/>
  <c r="K3" i="2" s="1"/>
  <c r="H9" i="4" l="1"/>
  <c r="D11" i="4"/>
  <c r="E11" i="4" s="1"/>
  <c r="G11" i="4" s="1"/>
  <c r="L1" i="2"/>
  <c r="L3" i="2" s="1"/>
  <c r="K2" i="2"/>
  <c r="H10" i="4" l="1"/>
  <c r="D12" i="4"/>
  <c r="E12" i="4" s="1"/>
  <c r="G12" i="4" s="1"/>
  <c r="L2" i="2"/>
  <c r="M1" i="2"/>
  <c r="M3" i="2" s="1"/>
  <c r="H11" i="4" l="1"/>
  <c r="D13" i="4"/>
  <c r="E13" i="4" s="1"/>
  <c r="G13" i="4" s="1"/>
  <c r="N1" i="2"/>
  <c r="N3" i="2" s="1"/>
  <c r="M2" i="2"/>
  <c r="H12" i="4" l="1"/>
  <c r="D14" i="4"/>
  <c r="E14" i="4" s="1"/>
  <c r="G14" i="4" s="1"/>
  <c r="N2" i="2"/>
  <c r="O1" i="2"/>
  <c r="O3" i="2" s="1"/>
  <c r="H13" i="4" l="1"/>
  <c r="D15" i="4"/>
  <c r="E15" i="4" s="1"/>
  <c r="G15" i="4" s="1"/>
  <c r="P1" i="2"/>
  <c r="P3" i="2" s="1"/>
  <c r="O2" i="2"/>
  <c r="H14" i="4" l="1"/>
  <c r="D16" i="4"/>
  <c r="E16" i="4" s="1"/>
  <c r="G16" i="4" s="1"/>
  <c r="Q1" i="2"/>
  <c r="Q3" i="2" s="1"/>
  <c r="P2" i="2"/>
  <c r="H15" i="4" l="1"/>
  <c r="D17" i="4"/>
  <c r="E17" i="4" s="1"/>
  <c r="G17" i="4" s="1"/>
  <c r="R1" i="2"/>
  <c r="R3" i="2" s="1"/>
  <c r="Q2" i="2"/>
  <c r="H16" i="4" l="1"/>
  <c r="D18" i="4"/>
  <c r="E18" i="4" s="1"/>
  <c r="G18" i="4" s="1"/>
  <c r="S1" i="2"/>
  <c r="S3" i="2" s="1"/>
  <c r="R2" i="2"/>
  <c r="H17" i="4" l="1"/>
  <c r="D19" i="4"/>
  <c r="E19" i="4" s="1"/>
  <c r="G19" i="4" s="1"/>
  <c r="T1" i="2"/>
  <c r="T3" i="2" s="1"/>
  <c r="S2" i="2"/>
  <c r="H18" i="4" l="1"/>
  <c r="D20" i="4"/>
  <c r="E20" i="4" s="1"/>
  <c r="G20" i="4" s="1"/>
  <c r="U1" i="2"/>
  <c r="U3" i="2" s="1"/>
  <c r="T2" i="2"/>
  <c r="H19" i="4" l="1"/>
  <c r="D21" i="4"/>
  <c r="E21" i="4" s="1"/>
  <c r="G21" i="4" s="1"/>
  <c r="V1" i="2"/>
  <c r="V3" i="2" s="1"/>
  <c r="U2" i="2"/>
  <c r="H20" i="4" l="1"/>
  <c r="D22" i="4"/>
  <c r="E22" i="4" s="1"/>
  <c r="G22" i="4" s="1"/>
  <c r="W1" i="2"/>
  <c r="V2" i="2"/>
  <c r="H21" i="4" l="1"/>
  <c r="D23" i="4"/>
  <c r="E23" i="4" s="1"/>
  <c r="G23" i="4" s="1"/>
  <c r="W3" i="2"/>
  <c r="X1" i="2"/>
  <c r="W2" i="2"/>
  <c r="H22" i="4" l="1"/>
  <c r="D24" i="4"/>
  <c r="E24" i="4" s="1"/>
  <c r="G24" i="4" s="1"/>
  <c r="Y1" i="2"/>
  <c r="X2" i="2"/>
  <c r="X3" i="2"/>
  <c r="H23" i="4" l="1"/>
  <c r="D25" i="4"/>
  <c r="E25" i="4" s="1"/>
  <c r="G25" i="4" s="1"/>
  <c r="Z1" i="2"/>
  <c r="Y2" i="2"/>
  <c r="Y3" i="2"/>
  <c r="H24" i="4" l="1"/>
  <c r="D26" i="4"/>
  <c r="E26" i="4" s="1"/>
  <c r="G26" i="4" s="1"/>
  <c r="AA1" i="2"/>
  <c r="Z2" i="2"/>
  <c r="Z3" i="2"/>
  <c r="H25" i="4" l="1"/>
  <c r="D27" i="4"/>
  <c r="E27" i="4" s="1"/>
  <c r="G27" i="4" s="1"/>
  <c r="AB1" i="2"/>
  <c r="AA3" i="2"/>
  <c r="AA2" i="2"/>
  <c r="H26" i="4" l="1"/>
  <c r="D28" i="4"/>
  <c r="E28" i="4" s="1"/>
  <c r="G28" i="4" s="1"/>
  <c r="AC1" i="2"/>
  <c r="AB3" i="2"/>
  <c r="AB2" i="2"/>
  <c r="H27" i="4" l="1"/>
  <c r="D29" i="4"/>
  <c r="E29" i="4" s="1"/>
  <c r="G29" i="4" s="1"/>
  <c r="AD1" i="2"/>
  <c r="AC2" i="2"/>
  <c r="AC3" i="2"/>
  <c r="H28" i="4" l="1"/>
  <c r="D30" i="4"/>
  <c r="E30" i="4" s="1"/>
  <c r="G30" i="4" s="1"/>
  <c r="AE1" i="2"/>
  <c r="AD3" i="2"/>
  <c r="AD2" i="2"/>
  <c r="H29" i="4" l="1"/>
  <c r="D31" i="4"/>
  <c r="AF1" i="2"/>
  <c r="AE2" i="2"/>
  <c r="AE3" i="2"/>
  <c r="E31" i="4" l="1"/>
  <c r="G31" i="4" s="1"/>
  <c r="D32" i="4"/>
  <c r="E32" i="4" s="1"/>
  <c r="H30" i="4"/>
  <c r="AF2" i="2"/>
  <c r="AF3" i="2"/>
  <c r="G32" i="4" l="1"/>
  <c r="H32" i="4" s="1"/>
  <c r="C38" i="7" a="1"/>
  <c r="B8" i="4"/>
  <c r="C38" i="7" l="1"/>
  <c r="G38" i="7"/>
  <c r="L38" i="7"/>
  <c r="AG38" i="7"/>
  <c r="V38" i="7"/>
  <c r="AD38" i="7"/>
  <c r="F38" i="7"/>
  <c r="AA38" i="7"/>
  <c r="R38" i="7"/>
  <c r="U38" i="7"/>
  <c r="Q38" i="7"/>
  <c r="K38" i="7"/>
  <c r="Y38" i="7"/>
  <c r="I38" i="7"/>
  <c r="X38" i="7"/>
  <c r="H38" i="7"/>
  <c r="W38" i="7"/>
  <c r="O38" i="7"/>
  <c r="T38" i="7"/>
  <c r="E38" i="7"/>
  <c r="Z38" i="7"/>
  <c r="S38" i="7"/>
  <c r="D38" i="7"/>
  <c r="J38" i="7"/>
  <c r="AC38" i="7"/>
  <c r="AF38" i="7"/>
  <c r="P38" i="7"/>
  <c r="N38" i="7"/>
  <c r="M38" i="7"/>
  <c r="AB38" i="7"/>
  <c r="AE38" i="7"/>
  <c r="H31" i="4"/>
  <c r="B11" i="4" l="1"/>
  <c r="K11" i="4" s="1"/>
</calcChain>
</file>

<file path=xl/sharedStrings.xml><?xml version="1.0" encoding="utf-8"?>
<sst xmlns="http://schemas.openxmlformats.org/spreadsheetml/2006/main" count="870" uniqueCount="71">
  <si>
    <t>Year</t>
  </si>
  <si>
    <t>January</t>
  </si>
  <si>
    <t>Month</t>
  </si>
  <si>
    <t>May</t>
  </si>
  <si>
    <t>February</t>
  </si>
  <si>
    <t>Going to GYM</t>
  </si>
  <si>
    <t>March</t>
  </si>
  <si>
    <t>Protein Breakfast</t>
  </si>
  <si>
    <t>April</t>
  </si>
  <si>
    <t xml:space="preserve">AM Skincare </t>
  </si>
  <si>
    <t>Clg or Side Hustle</t>
  </si>
  <si>
    <t>June</t>
  </si>
  <si>
    <t>Certification Course</t>
  </si>
  <si>
    <t>July</t>
  </si>
  <si>
    <t>Study or Journal</t>
  </si>
  <si>
    <t>August</t>
  </si>
  <si>
    <t>Drink 3L water</t>
  </si>
  <si>
    <t>September</t>
  </si>
  <si>
    <t xml:space="preserve">Prefect Calories Intake </t>
  </si>
  <si>
    <t>October</t>
  </si>
  <si>
    <t xml:space="preserve">No Sugar No Junk </t>
  </si>
  <si>
    <t>November</t>
  </si>
  <si>
    <t>Read for 20 minutes</t>
  </si>
  <si>
    <t>December</t>
  </si>
  <si>
    <t>PM Skincare</t>
  </si>
  <si>
    <t>Hair Care</t>
  </si>
  <si>
    <t xml:space="preserve">6-7 Hr Sleep </t>
  </si>
  <si>
    <t xml:space="preserve">Date </t>
  </si>
  <si>
    <t xml:space="preserve">Habit </t>
  </si>
  <si>
    <t xml:space="preserve">Status </t>
  </si>
  <si>
    <t>AM Skincare</t>
  </si>
  <si>
    <t>Prefect Calories Intake</t>
  </si>
  <si>
    <t>No Sugar No Junk</t>
  </si>
  <si>
    <t>6-7 Hr Sleep</t>
  </si>
  <si>
    <t>Start Date</t>
  </si>
  <si>
    <t>Completed</t>
  </si>
  <si>
    <t>%</t>
  </si>
  <si>
    <t>Remaining %</t>
  </si>
  <si>
    <t>Week</t>
  </si>
  <si>
    <t>End Date</t>
  </si>
  <si>
    <t>Weekly Completed</t>
  </si>
  <si>
    <t>Weekly Possible</t>
  </si>
  <si>
    <t>Incomplete</t>
  </si>
  <si>
    <t>Habit</t>
  </si>
  <si>
    <t>Total Days</t>
  </si>
  <si>
    <t xml:space="preserve">End Date </t>
  </si>
  <si>
    <t>Week 1</t>
  </si>
  <si>
    <t>Week 2</t>
  </si>
  <si>
    <t>Total Completed Habits</t>
  </si>
  <si>
    <t>Week 3</t>
  </si>
  <si>
    <t>Week 4</t>
  </si>
  <si>
    <t xml:space="preserve">Total Habits </t>
  </si>
  <si>
    <t>Week 5</t>
  </si>
  <si>
    <t>Overall Completed</t>
  </si>
  <si>
    <t>Overall Possible</t>
  </si>
  <si>
    <t>Overall %</t>
  </si>
  <si>
    <t>HABIT TRACKER</t>
  </si>
  <si>
    <t>MONTH</t>
  </si>
  <si>
    <t>YEAR</t>
  </si>
  <si>
    <t>AO</t>
  </si>
  <si>
    <t>AP</t>
  </si>
  <si>
    <t>Remaining</t>
  </si>
  <si>
    <t>Habits</t>
  </si>
  <si>
    <t xml:space="preserve">Weekly
Progress </t>
  </si>
  <si>
    <t>WEEK 1</t>
  </si>
  <si>
    <t>WEEK 2</t>
  </si>
  <si>
    <t>WEEK 3</t>
  </si>
  <si>
    <t>WEEK 4</t>
  </si>
  <si>
    <t>WEEK 5</t>
  </si>
  <si>
    <t>Habits Completed</t>
  </si>
  <si>
    <t>Habits Incomplete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</si>
</sst>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-mmmm\-yyyy"/>
    <numFmt numFmtId="165" formatCode="[=1]&quot;✔&quot;;[=0]&quot;✖&quot;;&quot;&quot;"/>
    <numFmt numFmtId="166" formatCode="dd\-mmm\-yy"/>
    <numFmt numFmtId="167" formatCode="0.0%"/>
    <numFmt numFmtId="168" formatCode="dd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b/>
      <sz val="28"/>
      <color theme="1"/>
      <name val="Times New Roman"/>
      <family val="1"/>
    </font>
    <font>
      <b/>
      <sz val="24"/>
      <color theme="1"/>
      <name val="Times New Roman"/>
      <family val="1"/>
    </font>
    <font>
      <b/>
      <sz val="28"/>
      <color theme="0"/>
      <name val="Times New Roman"/>
      <family val="1"/>
    </font>
    <font>
      <b/>
      <sz val="20"/>
      <color theme="0"/>
      <name val="Times New Roman"/>
      <family val="1"/>
    </font>
    <font>
      <b/>
      <sz val="18"/>
      <color theme="0"/>
      <name val="Times New Roman"/>
      <family val="1"/>
    </font>
    <font>
      <b/>
      <sz val="28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990099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/>
    <xf numFmtId="0" fontId="1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center"/>
    </xf>
    <xf numFmtId="1" fontId="0" fillId="0" borderId="0" xfId="0" applyNumberFormat="1"/>
    <xf numFmtId="0" fontId="3" fillId="2" borderId="2" xfId="0" applyFont="1" applyFill="1" applyBorder="1"/>
    <xf numFmtId="0" fontId="3" fillId="2" borderId="3" xfId="0" applyFont="1" applyFill="1" applyBorder="1"/>
    <xf numFmtId="14" fontId="0" fillId="0" borderId="0" xfId="0" applyNumberFormat="1"/>
    <xf numFmtId="14" fontId="3" fillId="2" borderId="1" xfId="0" applyNumberFormat="1" applyFont="1" applyFill="1" applyBorder="1"/>
    <xf numFmtId="166" fontId="0" fillId="0" borderId="0" xfId="0" applyNumberFormat="1"/>
    <xf numFmtId="9" fontId="0" fillId="0" borderId="0" xfId="0" applyNumberFormat="1"/>
    <xf numFmtId="0" fontId="4" fillId="0" borderId="0" xfId="0" applyFont="1"/>
    <xf numFmtId="0" fontId="0" fillId="0" borderId="0" xfId="0" applyNumberFormat="1"/>
    <xf numFmtId="167" fontId="0" fillId="0" borderId="0" xfId="0" applyNumberFormat="1"/>
    <xf numFmtId="0" fontId="4" fillId="0" borderId="0" xfId="0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 wrapText="1"/>
    </xf>
    <xf numFmtId="0" fontId="0" fillId="0" borderId="0" xfId="0" applyFill="1"/>
    <xf numFmtId="0" fontId="0" fillId="0" borderId="0" xfId="0" applyFill="1" applyBorder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Alignment="1">
      <alignment horizontal="center" vertical="center" wrapText="1"/>
    </xf>
    <xf numFmtId="14" fontId="0" fillId="0" borderId="0" xfId="0" applyNumberFormat="1" applyFill="1" applyBorder="1" applyAlignment="1"/>
    <xf numFmtId="0" fontId="8" fillId="0" borderId="0" xfId="0" applyFont="1" applyFill="1" applyBorder="1"/>
    <xf numFmtId="0" fontId="8" fillId="0" borderId="0" xfId="0" applyFont="1" applyFill="1"/>
    <xf numFmtId="0" fontId="8" fillId="0" borderId="0" xfId="0" applyFont="1"/>
    <xf numFmtId="0" fontId="8" fillId="0" borderId="12" xfId="0" applyFont="1" applyFill="1" applyBorder="1" applyAlignment="1">
      <alignment horizontal="center"/>
    </xf>
    <xf numFmtId="168" fontId="9" fillId="3" borderId="12" xfId="0" applyNumberFormat="1" applyFont="1" applyFill="1" applyBorder="1" applyAlignment="1">
      <alignment horizontal="center" vertical="center"/>
    </xf>
    <xf numFmtId="0" fontId="9" fillId="3" borderId="12" xfId="0" applyFont="1" applyFill="1" applyBorder="1"/>
    <xf numFmtId="0" fontId="9" fillId="3" borderId="12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11" fillId="3" borderId="12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9" fontId="15" fillId="7" borderId="4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/>
    </xf>
    <xf numFmtId="0" fontId="13" fillId="8" borderId="5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6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9" fontId="10" fillId="3" borderId="5" xfId="0" applyNumberFormat="1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9" fontId="10" fillId="4" borderId="15" xfId="0" applyNumberFormat="1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9" fontId="10" fillId="5" borderId="4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9" fontId="10" fillId="6" borderId="4" xfId="0" applyNumberFormat="1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b/>
        <i val="0"/>
        <color theme="9"/>
      </font>
      <numFmt numFmtId="169" formatCode="[=1]&quot;✓&quot;;General"/>
    </dxf>
    <dxf>
      <font>
        <b/>
        <i val="0"/>
        <color rgb="FFC00000"/>
      </font>
      <numFmt numFmtId="170" formatCode="[=0]&quot;✗&quot;;General"/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colors>
    <mruColors>
      <color rgb="FFFFCCFF"/>
      <color rgb="FF990099"/>
      <color rgb="FF993366"/>
      <color rgb="FF800080"/>
      <color rgb="FFFF43FF"/>
      <color rgb="FF660066"/>
      <color rgb="FFCC00CC"/>
      <color rgb="FFFF00FF"/>
      <color rgb="FFFF66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 i="0" u="none" strike="noStrike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DAILY</a:t>
            </a:r>
            <a:r>
              <a:rPr lang="en-IN" sz="1400" b="0" i="0" u="none" strike="noStrike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en-IN" sz="2000" b="1" i="0" u="none" strike="noStrike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PROGRESS</a:t>
            </a:r>
            <a:endParaRPr lang="en-IN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7176098988999579"/>
          <c:y val="9.1727092051500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41846847024606992"/>
          <c:w val="1"/>
          <c:h val="0.58153152975392997"/>
        </c:manualLayout>
      </c:layout>
      <c:areaChart>
        <c:grouping val="standard"/>
        <c:varyColors val="0"/>
        <c:ser>
          <c:idx val="0"/>
          <c:order val="0"/>
          <c:spPr>
            <a:solidFill>
              <a:srgbClr val="7030A0">
                <a:alpha val="53000"/>
              </a:srgbClr>
            </a:solidFill>
            <a:ln w="19050">
              <a:solidFill>
                <a:schemeClr val="tx1"/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-0.288176761568013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A3B-48AB-B60C-AF8D99F13EBB}"/>
                </c:ext>
              </c:extLst>
            </c:dLbl>
            <c:dLbl>
              <c:idx val="1"/>
              <c:layout>
                <c:manualLayout>
                  <c:x val="1.4467592592592592E-3"/>
                  <c:y val="-0.269382624944012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3B-48AB-B60C-AF8D99F13EBB}"/>
                </c:ext>
              </c:extLst>
            </c:dLbl>
            <c:dLbl>
              <c:idx val="2"/>
              <c:layout>
                <c:manualLayout>
                  <c:x val="-6.6309033375104128E-18"/>
                  <c:y val="-0.28191204936001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A3B-48AB-B60C-AF8D99F13EBB}"/>
                </c:ext>
              </c:extLst>
            </c:dLbl>
            <c:dLbl>
              <c:idx val="3"/>
              <c:layout>
                <c:manualLayout>
                  <c:x val="-1.3261806675020826E-17"/>
                  <c:y val="-0.300706185984013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A3B-48AB-B60C-AF8D99F13EBB}"/>
                </c:ext>
              </c:extLst>
            </c:dLbl>
            <c:dLbl>
              <c:idx val="4"/>
              <c:layout>
                <c:manualLayout>
                  <c:x val="1.3261806675020826E-17"/>
                  <c:y val="-0.269382624944012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A3B-48AB-B60C-AF8D99F13EBB}"/>
                </c:ext>
              </c:extLst>
            </c:dLbl>
            <c:dLbl>
              <c:idx val="5"/>
              <c:layout>
                <c:manualLayout>
                  <c:x val="0"/>
                  <c:y val="-0.28191204936001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A3B-48AB-B60C-AF8D99F13EBB}"/>
                </c:ext>
              </c:extLst>
            </c:dLbl>
            <c:dLbl>
              <c:idx val="6"/>
              <c:layout>
                <c:manualLayout>
                  <c:x val="-2.6523613350041651E-17"/>
                  <c:y val="-0.256853200528011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A3B-48AB-B60C-AF8D99F13EBB}"/>
                </c:ext>
              </c:extLst>
            </c:dLbl>
            <c:dLbl>
              <c:idx val="7"/>
              <c:layout>
                <c:manualLayout>
                  <c:x val="-5.3047226700083302E-17"/>
                  <c:y val="-0.231794351696010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A3B-48AB-B60C-AF8D99F13EBB}"/>
                </c:ext>
              </c:extLst>
            </c:dLbl>
            <c:dLbl>
              <c:idx val="8"/>
              <c:layout>
                <c:manualLayout>
                  <c:x val="1.4467592592592592E-3"/>
                  <c:y val="-0.231794351696010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A3B-48AB-B60C-AF8D99F13EBB}"/>
                </c:ext>
              </c:extLst>
            </c:dLbl>
            <c:dLbl>
              <c:idx val="9"/>
              <c:layout>
                <c:manualLayout>
                  <c:x val="-2.8935185185185184E-3"/>
                  <c:y val="-0.294441473776013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3B-48AB-B60C-AF8D99F13EBB}"/>
                </c:ext>
              </c:extLst>
            </c:dLbl>
            <c:dLbl>
              <c:idx val="10"/>
              <c:layout>
                <c:manualLayout>
                  <c:x val="-5.3047226700083302E-17"/>
                  <c:y val="-0.3257650348160148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A3B-48AB-B60C-AF8D99F13EBB}"/>
                </c:ext>
              </c:extLst>
            </c:dLbl>
            <c:dLbl>
              <c:idx val="11"/>
              <c:layout>
                <c:manualLayout>
                  <c:x val="5.7870370370369838E-3"/>
                  <c:y val="-0.2568532005280116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A3B-48AB-B60C-AF8D99F13EBB}"/>
                </c:ext>
              </c:extLst>
            </c:dLbl>
            <c:dLbl>
              <c:idx val="12"/>
              <c:layout>
                <c:manualLayout>
                  <c:x val="-5.3047226700083302E-17"/>
                  <c:y val="-0.2380590639040109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A3B-48AB-B60C-AF8D99F13EBB}"/>
                </c:ext>
              </c:extLst>
            </c:dLbl>
            <c:dLbl>
              <c:idx val="13"/>
              <c:layout>
                <c:manualLayout>
                  <c:x val="-1.4467592592592592E-3"/>
                  <c:y val="-0.288176761568013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A3B-48AB-B60C-AF8D99F13EBB}"/>
                </c:ext>
              </c:extLst>
            </c:dLbl>
            <c:dLbl>
              <c:idx val="14"/>
              <c:layout>
                <c:manualLayout>
                  <c:x val="-2.8935185185185184E-3"/>
                  <c:y val="-0.26311791273601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A3B-48AB-B60C-AF8D99F13EBB}"/>
                </c:ext>
              </c:extLst>
            </c:dLbl>
            <c:dLbl>
              <c:idx val="15"/>
              <c:layout>
                <c:manualLayout>
                  <c:x val="-1.060944534001666E-16"/>
                  <c:y val="-0.269382624944012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A3B-48AB-B60C-AF8D99F13EBB}"/>
                </c:ext>
              </c:extLst>
            </c:dLbl>
            <c:dLbl>
              <c:idx val="16"/>
              <c:layout>
                <c:manualLayout>
                  <c:x val="0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A3B-48AB-B60C-AF8D99F13EBB}"/>
                </c:ext>
              </c:extLst>
            </c:dLbl>
            <c:dLbl>
              <c:idx val="17"/>
              <c:layout>
                <c:manualLayout>
                  <c:x val="0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A3B-48AB-B60C-AF8D99F13EBB}"/>
                </c:ext>
              </c:extLst>
            </c:dLbl>
            <c:dLbl>
              <c:idx val="18"/>
              <c:layout>
                <c:manualLayout>
                  <c:x val="-1.4467592592592592E-3"/>
                  <c:y val="-0.26311791273601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3B-48AB-B60C-AF8D99F13EBB}"/>
                </c:ext>
              </c:extLst>
            </c:dLbl>
            <c:dLbl>
              <c:idx val="19"/>
              <c:layout>
                <c:manualLayout>
                  <c:x val="-1.4467592592592592E-3"/>
                  <c:y val="-0.288176761568013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A3B-48AB-B60C-AF8D99F13EBB}"/>
                </c:ext>
              </c:extLst>
            </c:dLbl>
            <c:dLbl>
              <c:idx val="20"/>
              <c:layout>
                <c:manualLayout>
                  <c:x val="-2.8935185185185184E-3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A3B-48AB-B60C-AF8D99F13EBB}"/>
                </c:ext>
              </c:extLst>
            </c:dLbl>
            <c:dLbl>
              <c:idx val="21"/>
              <c:layout>
                <c:manualLayout>
                  <c:x val="7.2337962962961905E-3"/>
                  <c:y val="-0.26311791273601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3B-48AB-B60C-AF8D99F13EBB}"/>
                </c:ext>
              </c:extLst>
            </c:dLbl>
            <c:dLbl>
              <c:idx val="22"/>
              <c:layout>
                <c:manualLayout>
                  <c:x val="2.8935185185185184E-3"/>
                  <c:y val="-0.2505884883200113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3B-48AB-B60C-AF8D99F13EBB}"/>
                </c:ext>
              </c:extLst>
            </c:dLbl>
            <c:dLbl>
              <c:idx val="23"/>
              <c:layout>
                <c:manualLayout>
                  <c:x val="0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A3B-48AB-B60C-AF8D99F13EBB}"/>
                </c:ext>
              </c:extLst>
            </c:dLbl>
            <c:dLbl>
              <c:idx val="24"/>
              <c:layout>
                <c:manualLayout>
                  <c:x val="1.4467592592591531E-3"/>
                  <c:y val="-0.26311791273601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3B-48AB-B60C-AF8D99F13EBB}"/>
                </c:ext>
              </c:extLst>
            </c:dLbl>
            <c:dLbl>
              <c:idx val="25"/>
              <c:layout>
                <c:manualLayout>
                  <c:x val="-1.4467592592592592E-3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3B-48AB-B60C-AF8D99F13EBB}"/>
                </c:ext>
              </c:extLst>
            </c:dLbl>
            <c:dLbl>
              <c:idx val="26"/>
              <c:layout>
                <c:manualLayout>
                  <c:x val="-1.060944534001666E-16"/>
                  <c:y val="-0.269382624944012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3B-48AB-B60C-AF8D99F13EBB}"/>
                </c:ext>
              </c:extLst>
            </c:dLbl>
            <c:dLbl>
              <c:idx val="27"/>
              <c:layout>
                <c:manualLayout>
                  <c:x val="-1.060944534001666E-16"/>
                  <c:y val="-0.275647337152012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3B-48AB-B60C-AF8D99F13EBB}"/>
                </c:ext>
              </c:extLst>
            </c:dLbl>
            <c:dLbl>
              <c:idx val="28"/>
              <c:layout>
                <c:manualLayout>
                  <c:x val="-1.060944534001666E-16"/>
                  <c:y val="-0.263117912736011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3B-48AB-B60C-AF8D99F13EBB}"/>
                </c:ext>
              </c:extLst>
            </c:dLbl>
            <c:dLbl>
              <c:idx val="29"/>
              <c:layout>
                <c:manualLayout>
                  <c:x val="-2.8935350852052188E-3"/>
                  <c:y val="-0.269245480935769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3B-48AB-B60C-AF8D99F13EBB}"/>
                </c:ext>
              </c:extLst>
            </c:dLbl>
            <c:dLbl>
              <c:idx val="30"/>
              <c:layout>
                <c:manualLayout>
                  <c:x val="0"/>
                  <c:y val="-0.288176761568013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3B-48AB-B60C-AF8D99F13E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D2:D32</c:v>
              </c:pt>
            </c:strLit>
          </c:cat>
          <c:val>
            <c:numRef>
              <c:f>Calculations!$G$2:$G$32</c:f>
              <c:numCache>
                <c:formatCode>0%</c:formatCode>
                <c:ptCount val="31"/>
                <c:pt idx="0">
                  <c:v>0.92307692307692313</c:v>
                </c:pt>
                <c:pt idx="1">
                  <c:v>0.69230769230769229</c:v>
                </c:pt>
                <c:pt idx="2">
                  <c:v>0.76923076923076927</c:v>
                </c:pt>
                <c:pt idx="3">
                  <c:v>0.84615384615384615</c:v>
                </c:pt>
                <c:pt idx="4">
                  <c:v>0.69230769230769229</c:v>
                </c:pt>
                <c:pt idx="5">
                  <c:v>0.76923076923076927</c:v>
                </c:pt>
                <c:pt idx="6">
                  <c:v>0.69230769230769229</c:v>
                </c:pt>
                <c:pt idx="7">
                  <c:v>0.61538461538461542</c:v>
                </c:pt>
                <c:pt idx="8">
                  <c:v>0.61538461538461542</c:v>
                </c:pt>
                <c:pt idx="9">
                  <c:v>0.69230769230769229</c:v>
                </c:pt>
                <c:pt idx="10">
                  <c:v>0.92307692307692313</c:v>
                </c:pt>
                <c:pt idx="11">
                  <c:v>0.61538461538461542</c:v>
                </c:pt>
                <c:pt idx="12">
                  <c:v>0.61538461538461542</c:v>
                </c:pt>
                <c:pt idx="13">
                  <c:v>0.76923076923076927</c:v>
                </c:pt>
                <c:pt idx="14">
                  <c:v>0.69230769230769229</c:v>
                </c:pt>
                <c:pt idx="15">
                  <c:v>0.69230769230769229</c:v>
                </c:pt>
                <c:pt idx="16">
                  <c:v>0.69230769230769229</c:v>
                </c:pt>
                <c:pt idx="17">
                  <c:v>0.76923076923076927</c:v>
                </c:pt>
                <c:pt idx="18">
                  <c:v>0.69230769230769229</c:v>
                </c:pt>
                <c:pt idx="19">
                  <c:v>0.76923076923076927</c:v>
                </c:pt>
                <c:pt idx="20">
                  <c:v>0.76923076923076927</c:v>
                </c:pt>
                <c:pt idx="21">
                  <c:v>0.69230769230769229</c:v>
                </c:pt>
                <c:pt idx="22">
                  <c:v>0.61538461538461542</c:v>
                </c:pt>
                <c:pt idx="23">
                  <c:v>0.69230769230769229</c:v>
                </c:pt>
                <c:pt idx="24">
                  <c:v>0.69230769230769229</c:v>
                </c:pt>
                <c:pt idx="25">
                  <c:v>0.76923076923076927</c:v>
                </c:pt>
                <c:pt idx="26">
                  <c:v>0.69230769230769229</c:v>
                </c:pt>
                <c:pt idx="27">
                  <c:v>0.76923076923076927</c:v>
                </c:pt>
                <c:pt idx="28">
                  <c:v>0.69230769230769229</c:v>
                </c:pt>
                <c:pt idx="29">
                  <c:v>0.69230769230769229</c:v>
                </c:pt>
                <c:pt idx="30">
                  <c:v>0.92307692307692313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7-46DA-B5A6-08E4EAC07D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815333951"/>
        <c:axId val="2015138863"/>
      </c:areaChart>
      <c:catAx>
        <c:axId val="181533395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5138863"/>
        <c:crosses val="autoZero"/>
        <c:auto val="1"/>
        <c:lblAlgn val="ctr"/>
        <c:lblOffset val="100"/>
        <c:noMultiLvlLbl val="0"/>
      </c:catAx>
      <c:valAx>
        <c:axId val="2015138863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1815333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>
        <a:alpha val="30000"/>
      </a:srgbClr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Monthly Progress</a:t>
            </a:r>
            <a:endParaRPr lang="en-IN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4585623145688301"/>
          <c:y val="1.137247084620752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023013958674439"/>
          <c:y val="0.13596361734763968"/>
          <c:w val="0.62353016968423092"/>
          <c:h val="0.71628744258370092"/>
        </c:manualLayout>
      </c:layout>
      <c:doughnutChart>
        <c:varyColors val="1"/>
        <c:ser>
          <c:idx val="0"/>
          <c:order val="0"/>
          <c:spPr>
            <a:ln>
              <a:solidFill>
                <a:schemeClr val="tx1">
                  <a:alpha val="50000"/>
                </a:schemeClr>
              </a:solidFill>
            </a:ln>
            <a:effectLst>
              <a:glow rad="330200">
                <a:srgbClr val="CC66FF">
                  <a:alpha val="47000"/>
                </a:srgbClr>
              </a:glow>
            </a:effectLst>
          </c:spPr>
          <c:dPt>
            <c:idx val="0"/>
            <c:bubble3D val="0"/>
            <c:spPr>
              <a:solidFill>
                <a:srgbClr val="FFCCFF"/>
              </a:solidFill>
              <a:ln w="19050">
                <a:solidFill>
                  <a:schemeClr val="tx1">
                    <a:alpha val="50000"/>
                  </a:schemeClr>
                </a:solidFill>
              </a:ln>
              <a:effectLst>
                <a:glow rad="330200">
                  <a:srgbClr val="CC66FF">
                    <a:alpha val="47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9EB6-4E27-90C6-EA8B4C0A0EF7}"/>
              </c:ext>
            </c:extLst>
          </c:dPt>
          <c:dPt>
            <c:idx val="1"/>
            <c:bubble3D val="0"/>
            <c:spPr>
              <a:solidFill>
                <a:srgbClr val="CC66FF"/>
              </a:solidFill>
              <a:ln w="19050">
                <a:solidFill>
                  <a:schemeClr val="tx1">
                    <a:alpha val="50000"/>
                  </a:schemeClr>
                </a:solidFill>
              </a:ln>
              <a:effectLst>
                <a:glow rad="330200">
                  <a:srgbClr val="CC66FF">
                    <a:alpha val="47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9EB6-4E27-90C6-EA8B4C0A0EF7}"/>
              </c:ext>
            </c:extLst>
          </c:dPt>
          <c:cat>
            <c:strRef>
              <c:f>Calculations!$J$10:$J$11</c:f>
              <c:strCache>
                <c:ptCount val="2"/>
                <c:pt idx="0">
                  <c:v>Completed</c:v>
                </c:pt>
                <c:pt idx="1">
                  <c:v>Remaining</c:v>
                </c:pt>
              </c:strCache>
            </c:strRef>
          </c:cat>
          <c:val>
            <c:numRef>
              <c:f>Calculations!$K$10:$K$11</c:f>
              <c:numCache>
                <c:formatCode>0.00%</c:formatCode>
                <c:ptCount val="2"/>
                <c:pt idx="0">
                  <c:v>0.72704714640198531</c:v>
                </c:pt>
                <c:pt idx="1">
                  <c:v>0.27295285359801469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6-4E27-90C6-EA8B4C0A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75925595534735368"/>
          <c:w val="1"/>
          <c:h val="0.24074404465264623"/>
        </c:manualLayout>
      </c:layout>
      <c:overlay val="0"/>
      <c:spPr>
        <a:noFill/>
        <a:ln>
          <a:noFill/>
        </a:ln>
        <a:effectLst>
          <a:glow>
            <a:schemeClr val="accent1"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101600</xdr:rowOff>
    </xdr:from>
    <xdr:to>
      <xdr:col>5</xdr:col>
      <xdr:colOff>477519</xdr:colOff>
      <xdr:row>12</xdr:row>
      <xdr:rowOff>20320</xdr:rowOff>
    </xdr:to>
    <xdr:sp macro="[0]!Save_Month_Data" textlink="">
      <xdr:nvSpPr>
        <xdr:cNvPr id="3" name="Rectangle 2">
          <a:extLst>
            <a:ext uri="{FF2B5EF4-FFF2-40B4-BE49-F238E27FC236}">
              <a16:creationId xmlns:a16="http://schemas.microsoft.com/office/drawing/2014/main" id="{DA37B08D-B2A5-4DAF-9B1C-6746CB394320}"/>
            </a:ext>
          </a:extLst>
        </xdr:cNvPr>
        <xdr:cNvSpPr/>
      </xdr:nvSpPr>
      <xdr:spPr>
        <a:xfrm>
          <a:off x="609600" y="1798320"/>
          <a:ext cx="3891279" cy="467360"/>
        </a:xfrm>
        <a:prstGeom prst="rect">
          <a:avLst/>
        </a:prstGeom>
        <a:solidFill>
          <a:srgbClr val="660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SAVE DATA</a:t>
          </a:r>
        </a:p>
      </xdr:txBody>
    </xdr:sp>
    <xdr:clientData/>
  </xdr:twoCellAnchor>
  <xdr:twoCellAnchor>
    <xdr:from>
      <xdr:col>6</xdr:col>
      <xdr:colOff>155378</xdr:colOff>
      <xdr:row>1</xdr:row>
      <xdr:rowOff>13138</xdr:rowOff>
    </xdr:from>
    <xdr:to>
      <xdr:col>26</xdr:col>
      <xdr:colOff>287458</xdr:colOff>
      <xdr:row>12</xdr:row>
      <xdr:rowOff>24817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8CD1CB9-CD69-4A6D-9707-9F5542A97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446690</xdr:colOff>
      <xdr:row>1</xdr:row>
      <xdr:rowOff>26276</xdr:rowOff>
    </xdr:from>
    <xdr:to>
      <xdr:col>32</xdr:col>
      <xdr:colOff>396240</xdr:colOff>
      <xdr:row>12</xdr:row>
      <xdr:rowOff>26276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E5C246E-4FA6-4EE3-8C93-3AFF2658D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24</xdr:col>
      <xdr:colOff>207818</xdr:colOff>
      <xdr:row>24</xdr:row>
      <xdr:rowOff>150091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9D39DE32-DEC1-49A2-9577-5AFBFE466E07}"/>
            </a:ext>
          </a:extLst>
        </xdr:cNvPr>
        <xdr:cNvSpPr txBox="1"/>
      </xdr:nvSpPr>
      <xdr:spPr>
        <a:xfrm>
          <a:off x="14893636" y="464127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837EA-93BE-4661-95B4-6A9237D9DB43}">
  <sheetPr codeName="Sheet1"/>
  <dimension ref="A2:E16"/>
  <sheetViews>
    <sheetView zoomScale="133" workbookViewId="0">
      <selection activeCell="B2" sqref="B2"/>
    </sheetView>
  </sheetViews>
  <sheetFormatPr defaultRowHeight="14.4" x14ac:dyDescent="0.3"/>
  <cols>
    <col min="1" max="1" width="20.109375" bestFit="1" customWidth="1"/>
  </cols>
  <sheetData>
    <row r="2" spans="1:5" x14ac:dyDescent="0.3">
      <c r="A2" s="1" t="s">
        <v>0</v>
      </c>
      <c r="B2" s="1">
        <v>2026</v>
      </c>
      <c r="C2" s="1"/>
      <c r="D2" s="1" t="s">
        <v>1</v>
      </c>
      <c r="E2" s="1">
        <v>2026</v>
      </c>
    </row>
    <row r="3" spans="1:5" x14ac:dyDescent="0.3">
      <c r="A3" s="1" t="s">
        <v>2</v>
      </c>
      <c r="B3" s="1" t="s">
        <v>3</v>
      </c>
      <c r="C3" s="1"/>
      <c r="D3" s="1" t="s">
        <v>4</v>
      </c>
      <c r="E3" s="1">
        <v>2027</v>
      </c>
    </row>
    <row r="4" spans="1:5" x14ac:dyDescent="0.3">
      <c r="A4" s="1" t="s">
        <v>5</v>
      </c>
      <c r="B4" s="1"/>
      <c r="C4" s="1"/>
      <c r="D4" s="1" t="s">
        <v>6</v>
      </c>
      <c r="E4" s="1">
        <v>2028</v>
      </c>
    </row>
    <row r="5" spans="1:5" x14ac:dyDescent="0.3">
      <c r="A5" s="1" t="s">
        <v>7</v>
      </c>
      <c r="B5" s="1"/>
      <c r="C5" s="1"/>
      <c r="D5" s="1" t="s">
        <v>8</v>
      </c>
      <c r="E5" s="1">
        <v>2029</v>
      </c>
    </row>
    <row r="6" spans="1:5" x14ac:dyDescent="0.3">
      <c r="A6" s="1" t="s">
        <v>9</v>
      </c>
      <c r="B6" s="1"/>
      <c r="C6" s="1"/>
      <c r="D6" s="1" t="s">
        <v>3</v>
      </c>
      <c r="E6" s="1">
        <v>2030</v>
      </c>
    </row>
    <row r="7" spans="1:5" x14ac:dyDescent="0.3">
      <c r="A7" s="1" t="s">
        <v>10</v>
      </c>
      <c r="B7" s="1"/>
      <c r="C7" s="1"/>
      <c r="D7" s="1" t="s">
        <v>11</v>
      </c>
      <c r="E7" s="1"/>
    </row>
    <row r="8" spans="1:5" x14ac:dyDescent="0.3">
      <c r="A8" s="1" t="s">
        <v>12</v>
      </c>
      <c r="B8" s="1"/>
      <c r="C8" s="1"/>
      <c r="D8" s="1" t="s">
        <v>13</v>
      </c>
      <c r="E8" s="1"/>
    </row>
    <row r="9" spans="1:5" x14ac:dyDescent="0.3">
      <c r="A9" s="1" t="s">
        <v>14</v>
      </c>
      <c r="B9" s="1"/>
      <c r="C9" s="1"/>
      <c r="D9" s="1" t="s">
        <v>15</v>
      </c>
      <c r="E9" s="1"/>
    </row>
    <row r="10" spans="1:5" x14ac:dyDescent="0.3">
      <c r="A10" s="1" t="s">
        <v>16</v>
      </c>
      <c r="B10" s="1"/>
      <c r="C10" s="1"/>
      <c r="D10" s="1" t="s">
        <v>17</v>
      </c>
      <c r="E10" s="1"/>
    </row>
    <row r="11" spans="1:5" x14ac:dyDescent="0.3">
      <c r="A11" s="1" t="s">
        <v>18</v>
      </c>
      <c r="B11" s="1"/>
      <c r="C11" s="1"/>
      <c r="D11" s="1" t="s">
        <v>19</v>
      </c>
      <c r="E11" s="1"/>
    </row>
    <row r="12" spans="1:5" x14ac:dyDescent="0.3">
      <c r="A12" s="1" t="s">
        <v>20</v>
      </c>
      <c r="B12" s="1"/>
      <c r="C12" s="1"/>
      <c r="D12" s="1" t="s">
        <v>21</v>
      </c>
      <c r="E12" s="1"/>
    </row>
    <row r="13" spans="1:5" x14ac:dyDescent="0.3">
      <c r="A13" s="1" t="s">
        <v>22</v>
      </c>
      <c r="B13" s="1"/>
      <c r="C13" s="1"/>
      <c r="D13" s="1" t="s">
        <v>23</v>
      </c>
      <c r="E13" s="1"/>
    </row>
    <row r="14" spans="1:5" x14ac:dyDescent="0.3">
      <c r="A14" s="1" t="s">
        <v>24</v>
      </c>
      <c r="B14" s="1"/>
      <c r="C14" s="1"/>
      <c r="D14" s="1"/>
      <c r="E14" s="1"/>
    </row>
    <row r="15" spans="1:5" x14ac:dyDescent="0.3">
      <c r="A15" s="1" t="s">
        <v>25</v>
      </c>
      <c r="B15" s="1"/>
      <c r="C15" s="1"/>
      <c r="D15" s="1"/>
      <c r="E15" s="1"/>
    </row>
    <row r="16" spans="1:5" x14ac:dyDescent="0.3">
      <c r="A16" s="1" t="s">
        <v>26</v>
      </c>
      <c r="B16" s="1"/>
      <c r="C16" s="1"/>
      <c r="D16" s="1"/>
      <c r="E16" s="1"/>
    </row>
  </sheetData>
  <dataValidations disablePrompts="1" count="2">
    <dataValidation type="list" allowBlank="1" showInputMessage="1" showErrorMessage="1" sqref="B3" xr:uid="{48266E72-6B0D-428F-ABE5-9132E1CEEF93}">
      <formula1>$D$2:$D$12</formula1>
    </dataValidation>
    <dataValidation type="list" allowBlank="1" showInputMessage="1" showErrorMessage="1" sqref="B2" xr:uid="{EE71CF11-BB2A-459F-96B0-FD8421CE09E3}">
      <formula1>$E$2:$E$6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0939-733B-441B-94E2-52A0E31CAE76}">
  <sheetPr codeName="Sheet2"/>
  <dimension ref="A1:AK146"/>
  <sheetViews>
    <sheetView topLeftCell="AA1" zoomScale="55" zoomScaleNormal="60" workbookViewId="0">
      <selection activeCell="B11" sqref="B11"/>
    </sheetView>
  </sheetViews>
  <sheetFormatPr defaultRowHeight="14.4" x14ac:dyDescent="0.3"/>
  <cols>
    <col min="1" max="1" width="33.33203125" bestFit="1" customWidth="1"/>
    <col min="2" max="2" width="18.6640625" bestFit="1" customWidth="1"/>
    <col min="3" max="10" width="19.6640625" bestFit="1" customWidth="1"/>
    <col min="11" max="20" width="20.5546875" bestFit="1" customWidth="1"/>
    <col min="21" max="21" width="20.5546875" customWidth="1"/>
    <col min="22" max="29" width="20.5546875" bestFit="1" customWidth="1"/>
    <col min="30" max="30" width="21.77734375" bestFit="1" customWidth="1"/>
    <col min="31" max="31" width="20.5546875" bestFit="1" customWidth="1"/>
    <col min="32" max="32" width="22.6640625" customWidth="1"/>
  </cols>
  <sheetData>
    <row r="1" spans="1:37" ht="25.2" customHeight="1" x14ac:dyDescent="0.45">
      <c r="A1" s="4"/>
      <c r="B1" s="5">
        <f>DATE(Setup!B2,MONTH(1&amp;Setup!B3),1)</f>
        <v>46143</v>
      </c>
      <c r="C1" s="5">
        <f>B1+1</f>
        <v>46144</v>
      </c>
      <c r="D1" s="5">
        <f t="shared" ref="D1:AF1" si="0">C1+1</f>
        <v>46145</v>
      </c>
      <c r="E1" s="5">
        <f t="shared" si="0"/>
        <v>46146</v>
      </c>
      <c r="F1" s="5">
        <f t="shared" si="0"/>
        <v>46147</v>
      </c>
      <c r="G1" s="5">
        <f t="shared" si="0"/>
        <v>46148</v>
      </c>
      <c r="H1" s="5">
        <f t="shared" si="0"/>
        <v>46149</v>
      </c>
      <c r="I1" s="5">
        <f t="shared" si="0"/>
        <v>46150</v>
      </c>
      <c r="J1" s="5">
        <f t="shared" si="0"/>
        <v>46151</v>
      </c>
      <c r="K1" s="5">
        <f t="shared" si="0"/>
        <v>46152</v>
      </c>
      <c r="L1" s="5">
        <f t="shared" si="0"/>
        <v>46153</v>
      </c>
      <c r="M1" s="5">
        <f t="shared" si="0"/>
        <v>46154</v>
      </c>
      <c r="N1" s="5">
        <f t="shared" si="0"/>
        <v>46155</v>
      </c>
      <c r="O1" s="5">
        <f t="shared" si="0"/>
        <v>46156</v>
      </c>
      <c r="P1" s="5">
        <f t="shared" si="0"/>
        <v>46157</v>
      </c>
      <c r="Q1" s="5">
        <f t="shared" si="0"/>
        <v>46158</v>
      </c>
      <c r="R1" s="5">
        <f t="shared" si="0"/>
        <v>46159</v>
      </c>
      <c r="S1" s="5">
        <f t="shared" si="0"/>
        <v>46160</v>
      </c>
      <c r="T1" s="5">
        <f t="shared" si="0"/>
        <v>46161</v>
      </c>
      <c r="U1" s="5">
        <f t="shared" si="0"/>
        <v>46162</v>
      </c>
      <c r="V1" s="5">
        <f t="shared" si="0"/>
        <v>46163</v>
      </c>
      <c r="W1" s="5">
        <f t="shared" si="0"/>
        <v>46164</v>
      </c>
      <c r="X1" s="5">
        <f t="shared" si="0"/>
        <v>46165</v>
      </c>
      <c r="Y1" s="5">
        <f t="shared" si="0"/>
        <v>46166</v>
      </c>
      <c r="Z1" s="5">
        <f t="shared" si="0"/>
        <v>46167</v>
      </c>
      <c r="AA1" s="5">
        <f t="shared" si="0"/>
        <v>46168</v>
      </c>
      <c r="AB1" s="5">
        <f t="shared" si="0"/>
        <v>46169</v>
      </c>
      <c r="AC1" s="5">
        <f t="shared" si="0"/>
        <v>46170</v>
      </c>
      <c r="AD1" s="5">
        <f t="shared" si="0"/>
        <v>46171</v>
      </c>
      <c r="AE1" s="5">
        <f t="shared" si="0"/>
        <v>46172</v>
      </c>
      <c r="AF1" s="5">
        <f t="shared" si="0"/>
        <v>46173</v>
      </c>
      <c r="AG1" s="3"/>
    </row>
    <row r="2" spans="1:37" ht="25.2" customHeight="1" x14ac:dyDescent="0.45">
      <c r="A2" s="4"/>
      <c r="B2" s="6" t="str">
        <f>TEXT(B1,"ddd")</f>
        <v>Fri</v>
      </c>
      <c r="C2" s="6" t="str">
        <f t="shared" ref="C2:W2" si="1">TEXT(C1,"ddd")</f>
        <v>Sat</v>
      </c>
      <c r="D2" s="6" t="str">
        <f t="shared" si="1"/>
        <v>Sun</v>
      </c>
      <c r="E2" s="6" t="str">
        <f t="shared" si="1"/>
        <v>Mon</v>
      </c>
      <c r="F2" s="6" t="str">
        <f t="shared" si="1"/>
        <v>Tue</v>
      </c>
      <c r="G2" s="6" t="str">
        <f t="shared" si="1"/>
        <v>Wed</v>
      </c>
      <c r="H2" s="6" t="str">
        <f t="shared" si="1"/>
        <v>Thu</v>
      </c>
      <c r="I2" s="6" t="str">
        <f t="shared" si="1"/>
        <v>Fri</v>
      </c>
      <c r="J2" s="6" t="str">
        <f t="shared" si="1"/>
        <v>Sat</v>
      </c>
      <c r="K2" s="6" t="str">
        <f t="shared" si="1"/>
        <v>Sun</v>
      </c>
      <c r="L2" s="6" t="str">
        <f t="shared" si="1"/>
        <v>Mon</v>
      </c>
      <c r="M2" s="6" t="str">
        <f t="shared" si="1"/>
        <v>Tue</v>
      </c>
      <c r="N2" s="6" t="str">
        <f t="shared" si="1"/>
        <v>Wed</v>
      </c>
      <c r="O2" s="6" t="str">
        <f t="shared" si="1"/>
        <v>Thu</v>
      </c>
      <c r="P2" s="6" t="str">
        <f t="shared" si="1"/>
        <v>Fri</v>
      </c>
      <c r="Q2" s="6" t="str">
        <f t="shared" si="1"/>
        <v>Sat</v>
      </c>
      <c r="R2" s="6" t="str">
        <f t="shared" si="1"/>
        <v>Sun</v>
      </c>
      <c r="S2" s="6" t="str">
        <f t="shared" si="1"/>
        <v>Mon</v>
      </c>
      <c r="T2" s="6" t="str">
        <f t="shared" si="1"/>
        <v>Tue</v>
      </c>
      <c r="U2" s="6" t="str">
        <f t="shared" si="1"/>
        <v>Wed</v>
      </c>
      <c r="V2" s="6" t="str">
        <f t="shared" si="1"/>
        <v>Thu</v>
      </c>
      <c r="W2" s="6" t="str">
        <f t="shared" si="1"/>
        <v>Fri</v>
      </c>
      <c r="X2" s="6" t="str">
        <f t="shared" ref="X2" si="2">TEXT(X1,"ddd")</f>
        <v>Sat</v>
      </c>
      <c r="Y2" s="6" t="str">
        <f t="shared" ref="Y2" si="3">TEXT(Y1,"ddd")</f>
        <v>Sun</v>
      </c>
      <c r="Z2" s="6" t="str">
        <f t="shared" ref="Z2" si="4">TEXT(Z1,"ddd")</f>
        <v>Mon</v>
      </c>
      <c r="AA2" s="6" t="str">
        <f t="shared" ref="AA2" si="5">TEXT(AA1,"ddd")</f>
        <v>Tue</v>
      </c>
      <c r="AB2" s="6" t="str">
        <f t="shared" ref="AB2" si="6">TEXT(AB1,"ddd")</f>
        <v>Wed</v>
      </c>
      <c r="AC2" s="6" t="str">
        <f t="shared" ref="AC2" si="7">TEXT(AC1,"ddd")</f>
        <v>Thu</v>
      </c>
      <c r="AD2" s="6" t="str">
        <f t="shared" ref="AD2" si="8">TEXT(AD1,"ddd")</f>
        <v>Fri</v>
      </c>
      <c r="AE2" s="6" t="str">
        <f t="shared" ref="AE2" si="9">TEXT(AE1,"ddd")</f>
        <v>Sat</v>
      </c>
      <c r="AF2" s="6" t="str">
        <f t="shared" ref="AF2" si="10">TEXT(AF1,"ddd")</f>
        <v>Sun</v>
      </c>
      <c r="AG2" s="2"/>
    </row>
    <row r="3" spans="1:37" ht="25.2" customHeight="1" x14ac:dyDescent="0.45">
      <c r="A3" s="4"/>
      <c r="B3" s="6" t="str">
        <f>"Week " &amp;  ROUNDUP(DAY(B1)/7,0)</f>
        <v>Week 1</v>
      </c>
      <c r="C3" s="6" t="str">
        <f t="shared" ref="C3:AF3" si="11">"Week " &amp;  ROUNDUP(DAY(C1)/7,0)</f>
        <v>Week 1</v>
      </c>
      <c r="D3" s="6" t="str">
        <f t="shared" si="11"/>
        <v>Week 1</v>
      </c>
      <c r="E3" s="6" t="str">
        <f t="shared" si="11"/>
        <v>Week 1</v>
      </c>
      <c r="F3" s="6" t="str">
        <f t="shared" si="11"/>
        <v>Week 1</v>
      </c>
      <c r="G3" s="6" t="str">
        <f t="shared" si="11"/>
        <v>Week 1</v>
      </c>
      <c r="H3" s="6" t="str">
        <f t="shared" si="11"/>
        <v>Week 1</v>
      </c>
      <c r="I3" s="6" t="str">
        <f t="shared" si="11"/>
        <v>Week 2</v>
      </c>
      <c r="J3" s="6" t="str">
        <f t="shared" si="11"/>
        <v>Week 2</v>
      </c>
      <c r="K3" s="6" t="str">
        <f t="shared" si="11"/>
        <v>Week 2</v>
      </c>
      <c r="L3" s="6" t="str">
        <f t="shared" si="11"/>
        <v>Week 2</v>
      </c>
      <c r="M3" s="6" t="str">
        <f t="shared" si="11"/>
        <v>Week 2</v>
      </c>
      <c r="N3" s="6" t="str">
        <f t="shared" si="11"/>
        <v>Week 2</v>
      </c>
      <c r="O3" s="6" t="str">
        <f t="shared" si="11"/>
        <v>Week 2</v>
      </c>
      <c r="P3" s="6" t="str">
        <f t="shared" si="11"/>
        <v>Week 3</v>
      </c>
      <c r="Q3" s="6" t="str">
        <f t="shared" si="11"/>
        <v>Week 3</v>
      </c>
      <c r="R3" s="6" t="str">
        <f t="shared" si="11"/>
        <v>Week 3</v>
      </c>
      <c r="S3" s="6" t="str">
        <f t="shared" si="11"/>
        <v>Week 3</v>
      </c>
      <c r="T3" s="6" t="str">
        <f t="shared" si="11"/>
        <v>Week 3</v>
      </c>
      <c r="U3" s="6" t="str">
        <f t="shared" si="11"/>
        <v>Week 3</v>
      </c>
      <c r="V3" s="6" t="str">
        <f t="shared" si="11"/>
        <v>Week 3</v>
      </c>
      <c r="W3" s="6" t="str">
        <f t="shared" si="11"/>
        <v>Week 4</v>
      </c>
      <c r="X3" s="6" t="str">
        <f t="shared" si="11"/>
        <v>Week 4</v>
      </c>
      <c r="Y3" s="6" t="str">
        <f t="shared" si="11"/>
        <v>Week 4</v>
      </c>
      <c r="Z3" s="6" t="str">
        <f t="shared" si="11"/>
        <v>Week 4</v>
      </c>
      <c r="AA3" s="6" t="str">
        <f t="shared" si="11"/>
        <v>Week 4</v>
      </c>
      <c r="AB3" s="6" t="str">
        <f t="shared" si="11"/>
        <v>Week 4</v>
      </c>
      <c r="AC3" s="6" t="str">
        <f t="shared" si="11"/>
        <v>Week 4</v>
      </c>
      <c r="AD3" s="6" t="str">
        <f t="shared" si="11"/>
        <v>Week 5</v>
      </c>
      <c r="AE3" s="6" t="str">
        <f t="shared" si="11"/>
        <v>Week 5</v>
      </c>
      <c r="AF3" s="6" t="str">
        <f t="shared" si="11"/>
        <v>Week 5</v>
      </c>
      <c r="AG3" s="2"/>
    </row>
    <row r="4" spans="1:37" ht="25.2" customHeight="1" x14ac:dyDescent="0.45">
      <c r="A4" s="7" t="str">
        <f>Setup!A4</f>
        <v>Going to GYM</v>
      </c>
      <c r="B4" s="8">
        <v>1</v>
      </c>
      <c r="C4" s="8">
        <v>1</v>
      </c>
      <c r="D4" s="8">
        <v>1</v>
      </c>
      <c r="E4" s="8">
        <v>1</v>
      </c>
      <c r="F4" s="8">
        <v>1</v>
      </c>
      <c r="G4" s="8">
        <v>1</v>
      </c>
      <c r="H4" s="8">
        <v>1</v>
      </c>
      <c r="I4" s="8">
        <v>0</v>
      </c>
      <c r="J4" s="8">
        <v>1</v>
      </c>
      <c r="K4" s="8">
        <v>1</v>
      </c>
      <c r="L4" s="8">
        <v>1</v>
      </c>
      <c r="M4" s="8">
        <v>1</v>
      </c>
      <c r="N4" s="8">
        <v>1</v>
      </c>
      <c r="O4" s="8">
        <v>1</v>
      </c>
      <c r="P4" s="8">
        <v>0</v>
      </c>
      <c r="Q4" s="8">
        <v>1</v>
      </c>
      <c r="R4" s="8">
        <v>1</v>
      </c>
      <c r="S4" s="8">
        <v>1</v>
      </c>
      <c r="T4" s="8">
        <v>1</v>
      </c>
      <c r="U4" s="8">
        <v>1</v>
      </c>
      <c r="V4" s="8">
        <v>1</v>
      </c>
      <c r="W4" s="8">
        <v>1</v>
      </c>
      <c r="X4" s="8">
        <v>0</v>
      </c>
      <c r="Y4" s="8">
        <v>1</v>
      </c>
      <c r="Z4" s="8">
        <v>1</v>
      </c>
      <c r="AA4" s="8">
        <v>1</v>
      </c>
      <c r="AB4" s="8">
        <v>1</v>
      </c>
      <c r="AC4" s="8">
        <v>1</v>
      </c>
      <c r="AD4" s="8">
        <v>1</v>
      </c>
      <c r="AE4" s="8">
        <v>0</v>
      </c>
      <c r="AF4" s="8">
        <v>1</v>
      </c>
      <c r="AG4" s="8"/>
      <c r="AH4" s="8"/>
      <c r="AI4" s="8"/>
      <c r="AJ4" s="8"/>
      <c r="AK4" s="8"/>
    </row>
    <row r="5" spans="1:37" ht="25.2" customHeight="1" x14ac:dyDescent="0.45">
      <c r="A5" s="7" t="str">
        <f>Setup!A5</f>
        <v>Protein Breakfast</v>
      </c>
      <c r="B5" s="8">
        <v>1</v>
      </c>
      <c r="C5" s="8">
        <v>1</v>
      </c>
      <c r="D5" s="8">
        <v>1</v>
      </c>
      <c r="E5" s="8">
        <v>1</v>
      </c>
      <c r="F5" s="8">
        <v>0</v>
      </c>
      <c r="G5" s="8">
        <v>0</v>
      </c>
      <c r="H5" s="8">
        <v>1</v>
      </c>
      <c r="I5" s="8">
        <v>1</v>
      </c>
      <c r="J5" s="8">
        <v>1</v>
      </c>
      <c r="K5" s="8">
        <v>0</v>
      </c>
      <c r="L5" s="8">
        <v>1</v>
      </c>
      <c r="M5" s="8">
        <v>0</v>
      </c>
      <c r="N5" s="8">
        <v>0</v>
      </c>
      <c r="O5" s="8">
        <v>1</v>
      </c>
      <c r="P5" s="8">
        <v>1</v>
      </c>
      <c r="Q5" s="8">
        <v>1</v>
      </c>
      <c r="R5" s="8">
        <v>1</v>
      </c>
      <c r="S5" s="8">
        <v>1</v>
      </c>
      <c r="T5" s="8">
        <v>0</v>
      </c>
      <c r="U5" s="8">
        <v>0</v>
      </c>
      <c r="V5" s="8">
        <v>1</v>
      </c>
      <c r="W5" s="8">
        <v>1</v>
      </c>
      <c r="X5" s="8">
        <v>1</v>
      </c>
      <c r="Y5" s="8">
        <v>1</v>
      </c>
      <c r="Z5" s="8">
        <v>0</v>
      </c>
      <c r="AA5" s="8">
        <v>1</v>
      </c>
      <c r="AB5" s="8">
        <v>0</v>
      </c>
      <c r="AC5" s="8">
        <v>0</v>
      </c>
      <c r="AD5" s="8">
        <v>1</v>
      </c>
      <c r="AE5" s="8">
        <v>1</v>
      </c>
      <c r="AF5" s="8">
        <v>1</v>
      </c>
      <c r="AG5" s="8"/>
      <c r="AH5" s="8"/>
      <c r="AI5" s="8"/>
      <c r="AJ5" s="8"/>
      <c r="AK5" s="8"/>
    </row>
    <row r="6" spans="1:37" ht="25.2" customHeight="1" x14ac:dyDescent="0.45">
      <c r="A6" s="7" t="str">
        <f>Setup!A6</f>
        <v xml:space="preserve">AM Skincare </v>
      </c>
      <c r="B6" s="8">
        <v>1</v>
      </c>
      <c r="C6" s="8">
        <v>1</v>
      </c>
      <c r="D6" s="8">
        <v>1</v>
      </c>
      <c r="E6" s="8">
        <v>1</v>
      </c>
      <c r="F6" s="8">
        <v>1</v>
      </c>
      <c r="G6" s="8">
        <v>1</v>
      </c>
      <c r="H6" s="8">
        <v>1</v>
      </c>
      <c r="I6" s="8">
        <v>0</v>
      </c>
      <c r="J6" s="8">
        <v>1</v>
      </c>
      <c r="K6" s="8">
        <v>1</v>
      </c>
      <c r="L6" s="8">
        <v>1</v>
      </c>
      <c r="M6" s="8">
        <v>1</v>
      </c>
      <c r="N6" s="8">
        <v>0</v>
      </c>
      <c r="O6" s="8">
        <v>1</v>
      </c>
      <c r="P6" s="8">
        <v>1</v>
      </c>
      <c r="Q6" s="8">
        <v>1</v>
      </c>
      <c r="R6" s="8">
        <v>0</v>
      </c>
      <c r="S6" s="8">
        <v>1</v>
      </c>
      <c r="T6" s="8">
        <v>1</v>
      </c>
      <c r="U6" s="8">
        <v>1</v>
      </c>
      <c r="V6" s="8">
        <v>1</v>
      </c>
      <c r="W6" s="8"/>
      <c r="X6" s="8">
        <v>0</v>
      </c>
      <c r="Y6" s="8">
        <v>1</v>
      </c>
      <c r="Z6" s="8">
        <v>1</v>
      </c>
      <c r="AA6" s="8">
        <v>1</v>
      </c>
      <c r="AB6" s="8">
        <v>1</v>
      </c>
      <c r="AC6" s="8">
        <v>1</v>
      </c>
      <c r="AD6" s="8">
        <v>1</v>
      </c>
      <c r="AE6" s="8">
        <v>0</v>
      </c>
      <c r="AF6" s="8">
        <v>1</v>
      </c>
      <c r="AG6" s="8"/>
      <c r="AH6" s="8"/>
      <c r="AI6" s="8"/>
      <c r="AJ6" s="8"/>
      <c r="AK6" s="8"/>
    </row>
    <row r="7" spans="1:37" ht="25.2" customHeight="1" x14ac:dyDescent="0.45">
      <c r="A7" s="7" t="str">
        <f>Setup!A7</f>
        <v>Clg or Side Hustle</v>
      </c>
      <c r="B7" s="8">
        <v>1</v>
      </c>
      <c r="C7" s="8">
        <v>1</v>
      </c>
      <c r="D7" s="8">
        <v>0</v>
      </c>
      <c r="E7" s="8">
        <v>0</v>
      </c>
      <c r="F7" s="8">
        <v>0</v>
      </c>
      <c r="G7" s="8">
        <v>1</v>
      </c>
      <c r="H7" s="8">
        <v>1</v>
      </c>
      <c r="I7" s="8">
        <v>0</v>
      </c>
      <c r="J7" s="8">
        <v>1</v>
      </c>
      <c r="K7" s="8">
        <v>0</v>
      </c>
      <c r="L7" s="8">
        <v>0</v>
      </c>
      <c r="M7" s="8">
        <v>0</v>
      </c>
      <c r="N7" s="8">
        <v>1</v>
      </c>
      <c r="O7" s="8">
        <v>1</v>
      </c>
      <c r="P7" s="8">
        <v>0</v>
      </c>
      <c r="Q7" s="8">
        <v>1</v>
      </c>
      <c r="R7" s="8">
        <v>0</v>
      </c>
      <c r="S7" s="8">
        <v>0</v>
      </c>
      <c r="T7" s="8">
        <v>0</v>
      </c>
      <c r="U7" s="8">
        <v>1</v>
      </c>
      <c r="V7" s="8">
        <v>1</v>
      </c>
      <c r="W7" s="8">
        <v>0</v>
      </c>
      <c r="X7" s="8">
        <v>0</v>
      </c>
      <c r="Y7" s="8">
        <v>1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8">
        <v>1</v>
      </c>
      <c r="AF7" s="8">
        <v>1</v>
      </c>
      <c r="AG7" s="8"/>
      <c r="AH7" s="8"/>
      <c r="AI7" s="8"/>
      <c r="AJ7" s="8"/>
      <c r="AK7" s="8"/>
    </row>
    <row r="8" spans="1:37" ht="25.2" customHeight="1" x14ac:dyDescent="0.45">
      <c r="A8" s="7" t="str">
        <f>Setup!A8</f>
        <v>Certification Course</v>
      </c>
      <c r="B8" s="8">
        <v>1</v>
      </c>
      <c r="C8" s="8">
        <v>1</v>
      </c>
      <c r="D8" s="8">
        <v>1</v>
      </c>
      <c r="E8" s="8">
        <v>1</v>
      </c>
      <c r="F8" s="8">
        <v>1</v>
      </c>
      <c r="G8" s="8">
        <v>1</v>
      </c>
      <c r="H8" s="8">
        <v>0</v>
      </c>
      <c r="I8" s="8">
        <v>1</v>
      </c>
      <c r="J8" s="8">
        <v>1</v>
      </c>
      <c r="K8" s="8">
        <v>1</v>
      </c>
      <c r="L8" s="8">
        <v>1</v>
      </c>
      <c r="M8" s="8">
        <v>1</v>
      </c>
      <c r="N8" s="8">
        <v>1</v>
      </c>
      <c r="O8" s="8">
        <v>0</v>
      </c>
      <c r="P8" s="8">
        <v>1</v>
      </c>
      <c r="Q8" s="8">
        <v>1</v>
      </c>
      <c r="R8" s="8">
        <v>1</v>
      </c>
      <c r="S8" s="8">
        <v>1</v>
      </c>
      <c r="T8" s="8">
        <v>1</v>
      </c>
      <c r="U8" s="8">
        <v>1</v>
      </c>
      <c r="V8" s="8">
        <v>0</v>
      </c>
      <c r="W8" s="8">
        <v>1</v>
      </c>
      <c r="X8" s="8">
        <v>1</v>
      </c>
      <c r="Y8" s="8">
        <v>1</v>
      </c>
      <c r="Z8" s="8">
        <v>1</v>
      </c>
      <c r="AA8" s="8">
        <v>1</v>
      </c>
      <c r="AB8" s="8">
        <v>1</v>
      </c>
      <c r="AC8" s="8">
        <v>1</v>
      </c>
      <c r="AD8" s="8">
        <v>0</v>
      </c>
      <c r="AE8" s="8">
        <v>1</v>
      </c>
      <c r="AF8" s="8">
        <v>1</v>
      </c>
      <c r="AG8" s="8"/>
      <c r="AH8" s="8"/>
      <c r="AI8" s="8"/>
      <c r="AJ8" s="8"/>
      <c r="AK8" s="8"/>
    </row>
    <row r="9" spans="1:37" ht="25.2" customHeight="1" x14ac:dyDescent="0.45">
      <c r="A9" s="7" t="str">
        <f>Setup!A9</f>
        <v>Study or Journal</v>
      </c>
      <c r="B9" s="8">
        <v>1</v>
      </c>
      <c r="C9" s="8">
        <v>0</v>
      </c>
      <c r="D9" s="8">
        <v>1</v>
      </c>
      <c r="E9" s="8">
        <v>1</v>
      </c>
      <c r="F9" s="8">
        <v>1</v>
      </c>
      <c r="G9" s="8">
        <v>1</v>
      </c>
      <c r="H9" s="8">
        <v>1</v>
      </c>
      <c r="I9" s="8">
        <v>1</v>
      </c>
      <c r="J9" s="8">
        <v>0</v>
      </c>
      <c r="K9" s="8">
        <v>1</v>
      </c>
      <c r="L9" s="8">
        <v>1</v>
      </c>
      <c r="M9" s="8">
        <v>1</v>
      </c>
      <c r="N9" s="8">
        <v>1</v>
      </c>
      <c r="O9" s="8">
        <v>1</v>
      </c>
      <c r="P9" s="8">
        <v>1</v>
      </c>
      <c r="Q9" s="8">
        <v>0</v>
      </c>
      <c r="R9" s="8">
        <v>1</v>
      </c>
      <c r="S9" s="8">
        <v>1</v>
      </c>
      <c r="T9" s="8">
        <v>1</v>
      </c>
      <c r="U9" s="8">
        <v>1</v>
      </c>
      <c r="V9" s="8">
        <v>1</v>
      </c>
      <c r="W9" s="8">
        <v>1</v>
      </c>
      <c r="X9" s="8">
        <v>1</v>
      </c>
      <c r="Y9" s="8">
        <v>0</v>
      </c>
      <c r="Z9" s="8">
        <v>1</v>
      </c>
      <c r="AA9" s="8">
        <v>1</v>
      </c>
      <c r="AB9" s="8">
        <v>1</v>
      </c>
      <c r="AC9" s="8">
        <v>1</v>
      </c>
      <c r="AD9" s="8">
        <v>1</v>
      </c>
      <c r="AE9" s="8">
        <v>1</v>
      </c>
      <c r="AF9" s="8">
        <v>1</v>
      </c>
      <c r="AG9" s="8"/>
      <c r="AH9" s="8"/>
      <c r="AI9" s="8"/>
      <c r="AJ9" s="8"/>
      <c r="AK9" s="8"/>
    </row>
    <row r="10" spans="1:37" ht="25.2" customHeight="1" x14ac:dyDescent="0.45">
      <c r="A10" s="7" t="str">
        <f>Setup!A10</f>
        <v>Drink 3L water</v>
      </c>
      <c r="B10" s="8">
        <v>1</v>
      </c>
      <c r="C10" s="8">
        <v>1</v>
      </c>
      <c r="D10" s="8">
        <v>1</v>
      </c>
      <c r="E10" s="8">
        <v>1</v>
      </c>
      <c r="F10" s="8">
        <v>0</v>
      </c>
      <c r="G10" s="8">
        <v>1</v>
      </c>
      <c r="H10" s="8">
        <v>0</v>
      </c>
      <c r="I10" s="8">
        <v>1</v>
      </c>
      <c r="J10" s="8">
        <v>1</v>
      </c>
      <c r="K10" s="8">
        <v>1</v>
      </c>
      <c r="L10" s="8">
        <v>1</v>
      </c>
      <c r="M10" s="8">
        <v>0</v>
      </c>
      <c r="N10" s="8">
        <v>0</v>
      </c>
      <c r="O10" s="8">
        <v>1</v>
      </c>
      <c r="P10" s="8">
        <v>1</v>
      </c>
      <c r="Q10" s="8">
        <v>1</v>
      </c>
      <c r="R10" s="8">
        <v>1</v>
      </c>
      <c r="S10" s="8">
        <v>0</v>
      </c>
      <c r="T10" s="8">
        <v>0</v>
      </c>
      <c r="U10" s="8">
        <v>1</v>
      </c>
      <c r="V10" s="8">
        <v>1</v>
      </c>
      <c r="W10" s="8">
        <v>0</v>
      </c>
      <c r="X10" s="8">
        <v>1</v>
      </c>
      <c r="Y10" s="8">
        <v>1</v>
      </c>
      <c r="Z10" s="8">
        <v>1</v>
      </c>
      <c r="AA10" s="8">
        <v>0</v>
      </c>
      <c r="AB10" s="8">
        <v>0</v>
      </c>
      <c r="AC10" s="8">
        <v>1</v>
      </c>
      <c r="AD10" s="8">
        <v>0</v>
      </c>
      <c r="AE10" s="8">
        <v>1</v>
      </c>
      <c r="AF10" s="8">
        <v>1</v>
      </c>
      <c r="AG10" s="8"/>
      <c r="AH10" s="8"/>
      <c r="AI10" s="8"/>
      <c r="AJ10" s="8"/>
      <c r="AK10" s="8"/>
    </row>
    <row r="11" spans="1:37" ht="25.2" customHeight="1" x14ac:dyDescent="0.45">
      <c r="A11" s="7" t="str">
        <f>Setup!A11</f>
        <v xml:space="preserve">Prefect Calories Intake </v>
      </c>
      <c r="B11" s="8">
        <v>1</v>
      </c>
      <c r="C11" s="8">
        <v>0</v>
      </c>
      <c r="D11" s="8">
        <v>1</v>
      </c>
      <c r="E11" s="8">
        <v>1</v>
      </c>
      <c r="F11" s="8">
        <v>1</v>
      </c>
      <c r="G11" s="8">
        <v>0</v>
      </c>
      <c r="H11" s="8">
        <v>1</v>
      </c>
      <c r="I11" s="8">
        <v>0</v>
      </c>
      <c r="J11" s="8">
        <v>0</v>
      </c>
      <c r="K11" s="8">
        <v>1</v>
      </c>
      <c r="L11" s="8">
        <v>1</v>
      </c>
      <c r="M11" s="8">
        <v>1</v>
      </c>
      <c r="N11" s="8">
        <v>0</v>
      </c>
      <c r="O11" s="8">
        <v>1</v>
      </c>
      <c r="P11" s="8">
        <v>0</v>
      </c>
      <c r="Q11" s="8">
        <v>0</v>
      </c>
      <c r="R11" s="8">
        <v>1</v>
      </c>
      <c r="S11" s="8">
        <v>1</v>
      </c>
      <c r="T11" s="8">
        <v>1</v>
      </c>
      <c r="U11" s="8">
        <v>0</v>
      </c>
      <c r="V11" s="8">
        <v>1</v>
      </c>
      <c r="W11" s="8">
        <v>1</v>
      </c>
      <c r="X11" s="8">
        <v>0</v>
      </c>
      <c r="Y11" s="8">
        <v>0</v>
      </c>
      <c r="Z11" s="8">
        <v>1</v>
      </c>
      <c r="AA11" s="8">
        <v>1</v>
      </c>
      <c r="AB11" s="8">
        <v>1</v>
      </c>
      <c r="AC11" s="8">
        <v>0</v>
      </c>
      <c r="AD11" s="8">
        <v>1</v>
      </c>
      <c r="AE11" s="8">
        <v>0</v>
      </c>
      <c r="AF11" s="8">
        <v>0</v>
      </c>
      <c r="AG11" s="8"/>
      <c r="AH11" s="8"/>
      <c r="AI11" s="8"/>
      <c r="AJ11" s="8"/>
      <c r="AK11" s="8"/>
    </row>
    <row r="12" spans="1:37" ht="25.2" customHeight="1" x14ac:dyDescent="0.45">
      <c r="A12" s="7" t="str">
        <f>Setup!A12</f>
        <v xml:space="preserve">No Sugar No Junk </v>
      </c>
      <c r="B12" s="8">
        <v>1</v>
      </c>
      <c r="C12" s="8">
        <v>1</v>
      </c>
      <c r="D12" s="8">
        <v>0</v>
      </c>
      <c r="E12" s="8">
        <v>1</v>
      </c>
      <c r="F12" s="8">
        <v>1</v>
      </c>
      <c r="G12" s="8">
        <v>1</v>
      </c>
      <c r="H12" s="8">
        <v>0</v>
      </c>
      <c r="I12" s="8">
        <v>1</v>
      </c>
      <c r="J12" s="8">
        <v>1</v>
      </c>
      <c r="K12" s="8">
        <v>0</v>
      </c>
      <c r="L12" s="8">
        <v>1</v>
      </c>
      <c r="M12" s="8">
        <v>1</v>
      </c>
      <c r="N12" s="8">
        <v>1</v>
      </c>
      <c r="O12" s="8">
        <v>0</v>
      </c>
      <c r="P12" s="8">
        <v>1</v>
      </c>
      <c r="Q12" s="8">
        <v>1</v>
      </c>
      <c r="R12" s="8">
        <v>0</v>
      </c>
      <c r="S12" s="8">
        <v>1</v>
      </c>
      <c r="T12" s="8">
        <v>1</v>
      </c>
      <c r="U12" s="8">
        <v>1</v>
      </c>
      <c r="V12" s="8">
        <v>0</v>
      </c>
      <c r="W12" s="8">
        <v>1</v>
      </c>
      <c r="X12" s="8">
        <v>1</v>
      </c>
      <c r="Y12" s="8">
        <v>1</v>
      </c>
      <c r="Z12" s="8">
        <v>0</v>
      </c>
      <c r="AA12" s="8">
        <v>1</v>
      </c>
      <c r="AB12" s="8">
        <v>1</v>
      </c>
      <c r="AC12" s="8">
        <v>1</v>
      </c>
      <c r="AD12" s="8">
        <v>1</v>
      </c>
      <c r="AE12" s="8">
        <v>1</v>
      </c>
      <c r="AF12" s="8">
        <v>1</v>
      </c>
      <c r="AG12" s="8"/>
      <c r="AH12" s="8"/>
      <c r="AI12" s="8"/>
      <c r="AJ12" s="8"/>
      <c r="AK12" s="8"/>
    </row>
    <row r="13" spans="1:37" ht="25.2" customHeight="1" x14ac:dyDescent="0.45">
      <c r="A13" s="7" t="str">
        <f>Setup!A13</f>
        <v>Read for 20 minutes</v>
      </c>
      <c r="B13" s="8">
        <v>0</v>
      </c>
      <c r="C13" s="8">
        <v>0</v>
      </c>
      <c r="D13" s="8">
        <v>1</v>
      </c>
      <c r="E13" s="8">
        <v>1</v>
      </c>
      <c r="F13" s="8">
        <v>1</v>
      </c>
      <c r="G13" s="8">
        <v>0</v>
      </c>
      <c r="H13" s="8">
        <v>1</v>
      </c>
      <c r="I13" s="8">
        <v>0</v>
      </c>
      <c r="J13" s="8">
        <v>0</v>
      </c>
      <c r="K13" s="8">
        <v>1</v>
      </c>
      <c r="L13" s="8">
        <v>1</v>
      </c>
      <c r="M13" s="8">
        <v>0</v>
      </c>
      <c r="N13" s="8">
        <v>0</v>
      </c>
      <c r="O13" s="8">
        <v>1</v>
      </c>
      <c r="P13" s="8">
        <v>0</v>
      </c>
      <c r="Q13" s="8">
        <v>0</v>
      </c>
      <c r="R13" s="8">
        <v>1</v>
      </c>
      <c r="S13" s="8">
        <v>1</v>
      </c>
      <c r="T13" s="8">
        <v>1</v>
      </c>
      <c r="U13" s="8">
        <v>0</v>
      </c>
      <c r="V13" s="8">
        <v>1</v>
      </c>
      <c r="W13" s="8">
        <v>1</v>
      </c>
      <c r="X13" s="8">
        <v>0</v>
      </c>
      <c r="Y13" s="8">
        <v>0</v>
      </c>
      <c r="Z13" s="8">
        <v>1</v>
      </c>
      <c r="AA13" s="8">
        <v>1</v>
      </c>
      <c r="AB13" s="8">
        <v>1</v>
      </c>
      <c r="AC13" s="8">
        <v>0</v>
      </c>
      <c r="AD13" s="8">
        <v>1</v>
      </c>
      <c r="AE13" s="8">
        <v>0</v>
      </c>
      <c r="AF13" s="8">
        <v>1</v>
      </c>
      <c r="AG13" s="8"/>
      <c r="AH13" s="8"/>
      <c r="AI13" s="8"/>
      <c r="AJ13" s="8"/>
      <c r="AK13" s="8"/>
    </row>
    <row r="14" spans="1:37" ht="25.2" customHeight="1" x14ac:dyDescent="0.45">
      <c r="A14" s="7" t="str">
        <f>Setup!A14</f>
        <v>PM Skincare</v>
      </c>
      <c r="B14" s="8">
        <v>1</v>
      </c>
      <c r="C14" s="8">
        <v>1</v>
      </c>
      <c r="D14" s="8">
        <v>1</v>
      </c>
      <c r="E14" s="8">
        <v>0</v>
      </c>
      <c r="F14" s="8">
        <v>1</v>
      </c>
      <c r="G14" s="8">
        <v>1</v>
      </c>
      <c r="H14" s="8">
        <v>0</v>
      </c>
      <c r="I14" s="8">
        <v>1</v>
      </c>
      <c r="J14" s="8">
        <v>1</v>
      </c>
      <c r="K14" s="8">
        <v>1</v>
      </c>
      <c r="L14" s="8">
        <v>1</v>
      </c>
      <c r="M14" s="8">
        <v>1</v>
      </c>
      <c r="N14" s="8">
        <v>1</v>
      </c>
      <c r="O14" s="8">
        <v>0</v>
      </c>
      <c r="P14" s="8">
        <v>1</v>
      </c>
      <c r="Q14" s="8">
        <v>1</v>
      </c>
      <c r="R14" s="8">
        <v>1</v>
      </c>
      <c r="S14" s="8">
        <v>0</v>
      </c>
      <c r="T14" s="8">
        <v>1</v>
      </c>
      <c r="U14" s="8">
        <v>1</v>
      </c>
      <c r="V14" s="8">
        <v>1</v>
      </c>
      <c r="W14" s="8">
        <v>1</v>
      </c>
      <c r="X14" s="8">
        <v>1</v>
      </c>
      <c r="Y14" s="8">
        <v>1</v>
      </c>
      <c r="Z14" s="8">
        <v>1</v>
      </c>
      <c r="AA14" s="8">
        <v>0</v>
      </c>
      <c r="AB14" s="8">
        <v>1</v>
      </c>
      <c r="AC14" s="8">
        <v>1</v>
      </c>
      <c r="AD14" s="8">
        <v>0</v>
      </c>
      <c r="AE14" s="8">
        <v>1</v>
      </c>
      <c r="AF14" s="8">
        <v>1</v>
      </c>
      <c r="AG14" s="8"/>
      <c r="AH14" s="8"/>
      <c r="AI14" s="8"/>
      <c r="AJ14" s="8"/>
      <c r="AK14" s="8"/>
    </row>
    <row r="15" spans="1:37" ht="25.2" customHeight="1" x14ac:dyDescent="0.45">
      <c r="A15" s="7" t="str">
        <f>Setup!A15</f>
        <v>Hair Care</v>
      </c>
      <c r="B15" s="8">
        <v>1</v>
      </c>
      <c r="C15" s="8">
        <v>0</v>
      </c>
      <c r="D15" s="8">
        <v>0</v>
      </c>
      <c r="E15" s="8">
        <v>1</v>
      </c>
      <c r="F15" s="8">
        <v>0</v>
      </c>
      <c r="G15" s="8">
        <v>1</v>
      </c>
      <c r="H15" s="8">
        <v>1</v>
      </c>
      <c r="I15" s="8">
        <v>1</v>
      </c>
      <c r="J15" s="8">
        <v>0</v>
      </c>
      <c r="K15" s="8">
        <v>0</v>
      </c>
      <c r="L15" s="8">
        <v>1</v>
      </c>
      <c r="M15" s="8">
        <v>0</v>
      </c>
      <c r="N15" s="8">
        <v>1</v>
      </c>
      <c r="O15" s="8">
        <v>1</v>
      </c>
      <c r="P15" s="8">
        <v>1</v>
      </c>
      <c r="Q15" s="8">
        <v>0</v>
      </c>
      <c r="R15" s="8">
        <v>0</v>
      </c>
      <c r="S15" s="8">
        <v>1</v>
      </c>
      <c r="T15" s="8">
        <v>0</v>
      </c>
      <c r="U15" s="8">
        <v>1</v>
      </c>
      <c r="V15" s="8">
        <v>1</v>
      </c>
      <c r="W15" s="8">
        <v>0</v>
      </c>
      <c r="X15" s="8">
        <v>1</v>
      </c>
      <c r="Y15" s="8">
        <v>0</v>
      </c>
      <c r="Z15" s="8">
        <v>0</v>
      </c>
      <c r="AA15" s="8">
        <v>1</v>
      </c>
      <c r="AB15" s="8">
        <v>0</v>
      </c>
      <c r="AC15" s="8">
        <v>1</v>
      </c>
      <c r="AD15" s="8">
        <v>1</v>
      </c>
      <c r="AE15" s="8">
        <v>1</v>
      </c>
      <c r="AF15" s="8">
        <v>1</v>
      </c>
      <c r="AG15" s="8"/>
      <c r="AH15" s="8"/>
      <c r="AI15" s="8"/>
      <c r="AJ15" s="8"/>
      <c r="AK15" s="8"/>
    </row>
    <row r="16" spans="1:37" ht="25.2" customHeight="1" x14ac:dyDescent="0.45">
      <c r="A16" s="7" t="str">
        <f>Setup!A16</f>
        <v xml:space="preserve">6-7 Hr Sleep </v>
      </c>
      <c r="B16" s="8">
        <v>1</v>
      </c>
      <c r="C16" s="8">
        <v>1</v>
      </c>
      <c r="D16" s="8">
        <v>1</v>
      </c>
      <c r="E16" s="8">
        <v>1</v>
      </c>
      <c r="F16" s="8">
        <v>1</v>
      </c>
      <c r="G16" s="8">
        <v>1</v>
      </c>
      <c r="H16" s="8">
        <v>1</v>
      </c>
      <c r="I16" s="8">
        <v>1</v>
      </c>
      <c r="J16" s="8">
        <v>0</v>
      </c>
      <c r="K16" s="8">
        <v>1</v>
      </c>
      <c r="L16" s="8">
        <v>1</v>
      </c>
      <c r="M16" s="8">
        <v>1</v>
      </c>
      <c r="N16" s="8">
        <v>1</v>
      </c>
      <c r="O16" s="8">
        <v>1</v>
      </c>
      <c r="P16" s="8">
        <v>1</v>
      </c>
      <c r="Q16" s="8">
        <v>1</v>
      </c>
      <c r="R16" s="8">
        <v>1</v>
      </c>
      <c r="S16" s="8">
        <v>1</v>
      </c>
      <c r="T16" s="8">
        <v>1</v>
      </c>
      <c r="U16" s="8">
        <v>1</v>
      </c>
      <c r="V16" s="8">
        <v>0</v>
      </c>
      <c r="W16" s="8">
        <v>1</v>
      </c>
      <c r="X16" s="8">
        <v>1</v>
      </c>
      <c r="Y16" s="8">
        <v>1</v>
      </c>
      <c r="Z16" s="8">
        <v>1</v>
      </c>
      <c r="AA16" s="8">
        <v>1</v>
      </c>
      <c r="AB16" s="8">
        <v>1</v>
      </c>
      <c r="AC16" s="8">
        <v>1</v>
      </c>
      <c r="AD16" s="8">
        <v>0</v>
      </c>
      <c r="AE16" s="8">
        <v>1</v>
      </c>
      <c r="AF16" s="8">
        <v>1</v>
      </c>
      <c r="AG16" s="8"/>
      <c r="AH16" s="8"/>
      <c r="AI16" s="8"/>
      <c r="AJ16" s="8"/>
      <c r="AK16" s="8"/>
    </row>
    <row r="17" spans="1:32" ht="25.2" customHeight="1" x14ac:dyDescent="0.45">
      <c r="A17" s="7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ht="25.2" customHeight="1" x14ac:dyDescent="0.45">
      <c r="A18" s="7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ht="25.2" customHeight="1" x14ac:dyDescent="0.45">
      <c r="A19" s="7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ht="25.2" customHeight="1" x14ac:dyDescent="0.3"/>
    <row r="21" spans="1:32" ht="25.2" customHeight="1" x14ac:dyDescent="0.3"/>
    <row r="22" spans="1:32" ht="25.2" customHeight="1" x14ac:dyDescent="0.3"/>
    <row r="23" spans="1:32" ht="24.6" customHeight="1" x14ac:dyDescent="0.3"/>
    <row r="24" spans="1:32" ht="25.2" customHeight="1" x14ac:dyDescent="0.3"/>
    <row r="25" spans="1:32" ht="25.2" customHeight="1" x14ac:dyDescent="0.3"/>
    <row r="26" spans="1:32" ht="25.2" customHeight="1" x14ac:dyDescent="0.3"/>
    <row r="27" spans="1:32" ht="25.2" customHeight="1" x14ac:dyDescent="0.3"/>
    <row r="28" spans="1:32" ht="25.2" customHeight="1" x14ac:dyDescent="0.3">
      <c r="H28" s="9"/>
    </row>
    <row r="29" spans="1:32" ht="25.2" customHeight="1" x14ac:dyDescent="0.3"/>
    <row r="30" spans="1:32" ht="25.2" customHeight="1" x14ac:dyDescent="0.3"/>
    <row r="31" spans="1:32" ht="25.2" customHeight="1" x14ac:dyDescent="0.3"/>
    <row r="32" spans="1:32" ht="25.2" customHeight="1" x14ac:dyDescent="0.3"/>
    <row r="33" ht="25.2" customHeight="1" x14ac:dyDescent="0.3"/>
    <row r="34" ht="25.2" customHeight="1" x14ac:dyDescent="0.3"/>
    <row r="35" ht="25.2" customHeight="1" x14ac:dyDescent="0.3"/>
    <row r="36" ht="25.2" customHeight="1" x14ac:dyDescent="0.3"/>
    <row r="37" ht="25.2" customHeight="1" x14ac:dyDescent="0.3"/>
    <row r="38" ht="25.2" customHeight="1" x14ac:dyDescent="0.3"/>
    <row r="39" ht="25.2" customHeight="1" x14ac:dyDescent="0.3"/>
    <row r="40" ht="25.2" customHeight="1" x14ac:dyDescent="0.3"/>
    <row r="41" ht="25.2" customHeight="1" x14ac:dyDescent="0.3"/>
    <row r="42" ht="25.2" customHeight="1" x14ac:dyDescent="0.3"/>
    <row r="43" ht="25.2" customHeight="1" x14ac:dyDescent="0.3"/>
    <row r="44" ht="25.2" customHeight="1" x14ac:dyDescent="0.3"/>
    <row r="45" ht="25.2" customHeight="1" x14ac:dyDescent="0.3"/>
    <row r="46" ht="25.2" customHeight="1" x14ac:dyDescent="0.3"/>
    <row r="47" ht="25.2" customHeight="1" x14ac:dyDescent="0.3"/>
    <row r="48" ht="25.2" customHeight="1" x14ac:dyDescent="0.3"/>
    <row r="49" ht="25.2" customHeight="1" x14ac:dyDescent="0.3"/>
    <row r="50" ht="25.2" customHeight="1" x14ac:dyDescent="0.3"/>
    <row r="51" ht="25.2" customHeight="1" x14ac:dyDescent="0.3"/>
    <row r="52" ht="25.2" customHeight="1" x14ac:dyDescent="0.3"/>
    <row r="53" ht="25.2" customHeight="1" x14ac:dyDescent="0.3"/>
    <row r="54" ht="25.2" customHeight="1" x14ac:dyDescent="0.3"/>
    <row r="55" ht="25.2" customHeight="1" x14ac:dyDescent="0.3"/>
    <row r="56" ht="25.2" customHeight="1" x14ac:dyDescent="0.3"/>
    <row r="57" ht="25.2" customHeight="1" x14ac:dyDescent="0.3"/>
    <row r="58" ht="25.2" customHeight="1" x14ac:dyDescent="0.3"/>
    <row r="59" ht="25.2" customHeight="1" x14ac:dyDescent="0.3"/>
    <row r="60" ht="25.2" customHeight="1" x14ac:dyDescent="0.3"/>
    <row r="61" ht="25.2" customHeight="1" x14ac:dyDescent="0.3"/>
    <row r="62" ht="25.2" customHeight="1" x14ac:dyDescent="0.3"/>
    <row r="63" ht="25.2" customHeight="1" x14ac:dyDescent="0.3"/>
    <row r="64" ht="25.2" customHeight="1" x14ac:dyDescent="0.3"/>
    <row r="65" ht="25.2" customHeight="1" x14ac:dyDescent="0.3"/>
    <row r="66" ht="25.2" customHeight="1" x14ac:dyDescent="0.3"/>
    <row r="67" ht="25.2" customHeight="1" x14ac:dyDescent="0.3"/>
    <row r="68" ht="25.2" customHeight="1" x14ac:dyDescent="0.3"/>
    <row r="69" ht="25.2" customHeight="1" x14ac:dyDescent="0.3"/>
    <row r="70" ht="25.2" customHeight="1" x14ac:dyDescent="0.3"/>
    <row r="71" ht="25.2" customHeight="1" x14ac:dyDescent="0.3"/>
    <row r="72" ht="25.2" customHeight="1" x14ac:dyDescent="0.3"/>
    <row r="73" ht="25.2" customHeight="1" x14ac:dyDescent="0.3"/>
    <row r="74" ht="25.2" customHeight="1" x14ac:dyDescent="0.3"/>
    <row r="75" ht="25.2" customHeight="1" x14ac:dyDescent="0.3"/>
    <row r="76" ht="25.2" customHeight="1" x14ac:dyDescent="0.3"/>
    <row r="77" ht="25.2" customHeight="1" x14ac:dyDescent="0.3"/>
    <row r="78" ht="25.2" customHeight="1" x14ac:dyDescent="0.3"/>
    <row r="79" ht="25.2" customHeight="1" x14ac:dyDescent="0.3"/>
    <row r="80" ht="25.2" customHeight="1" x14ac:dyDescent="0.3"/>
    <row r="81" ht="25.2" customHeight="1" x14ac:dyDescent="0.3"/>
    <row r="82" ht="25.2" customHeight="1" x14ac:dyDescent="0.3"/>
    <row r="83" ht="25.2" customHeight="1" x14ac:dyDescent="0.3"/>
    <row r="84" ht="25.2" customHeight="1" x14ac:dyDescent="0.3"/>
    <row r="85" ht="25.2" customHeight="1" x14ac:dyDescent="0.3"/>
    <row r="86" ht="25.2" customHeight="1" x14ac:dyDescent="0.3"/>
    <row r="87" ht="25.2" customHeight="1" x14ac:dyDescent="0.3"/>
    <row r="88" ht="25.2" customHeight="1" x14ac:dyDescent="0.3"/>
    <row r="89" ht="25.2" customHeight="1" x14ac:dyDescent="0.3"/>
    <row r="90" ht="25.2" customHeight="1" x14ac:dyDescent="0.3"/>
    <row r="91" ht="25.2" customHeight="1" x14ac:dyDescent="0.3"/>
    <row r="92" ht="25.2" customHeight="1" x14ac:dyDescent="0.3"/>
    <row r="93" ht="25.2" customHeight="1" x14ac:dyDescent="0.3"/>
    <row r="94" ht="25.2" customHeight="1" x14ac:dyDescent="0.3"/>
    <row r="95" ht="25.2" customHeight="1" x14ac:dyDescent="0.3"/>
    <row r="96" ht="25.2" customHeight="1" x14ac:dyDescent="0.3"/>
    <row r="97" ht="25.2" customHeight="1" x14ac:dyDescent="0.3"/>
    <row r="98" ht="25.2" customHeight="1" x14ac:dyDescent="0.3"/>
    <row r="99" ht="25.2" customHeight="1" x14ac:dyDescent="0.3"/>
    <row r="100" ht="25.2" customHeight="1" x14ac:dyDescent="0.3"/>
    <row r="101" ht="25.2" customHeight="1" x14ac:dyDescent="0.3"/>
    <row r="102" ht="25.2" customHeight="1" x14ac:dyDescent="0.3"/>
    <row r="103" ht="25.2" customHeight="1" x14ac:dyDescent="0.3"/>
    <row r="104" ht="25.2" customHeight="1" x14ac:dyDescent="0.3"/>
    <row r="105" ht="25.2" customHeight="1" x14ac:dyDescent="0.3"/>
    <row r="106" ht="25.2" customHeight="1" x14ac:dyDescent="0.3"/>
    <row r="107" ht="25.2" customHeight="1" x14ac:dyDescent="0.3"/>
    <row r="108" ht="25.2" customHeight="1" x14ac:dyDescent="0.3"/>
    <row r="109" ht="25.2" customHeight="1" x14ac:dyDescent="0.3"/>
    <row r="110" ht="25.2" customHeight="1" x14ac:dyDescent="0.3"/>
    <row r="111" ht="25.2" customHeight="1" x14ac:dyDescent="0.3"/>
    <row r="112" ht="25.2" customHeight="1" x14ac:dyDescent="0.3"/>
    <row r="113" ht="25.2" customHeight="1" x14ac:dyDescent="0.3"/>
    <row r="114" ht="25.2" customHeight="1" x14ac:dyDescent="0.3"/>
    <row r="115" ht="25.2" customHeight="1" x14ac:dyDescent="0.3"/>
    <row r="116" ht="25.2" customHeight="1" x14ac:dyDescent="0.3"/>
    <row r="117" ht="25.2" customHeight="1" x14ac:dyDescent="0.3"/>
    <row r="118" ht="25.2" customHeight="1" x14ac:dyDescent="0.3"/>
    <row r="119" ht="25.2" customHeight="1" x14ac:dyDescent="0.3"/>
    <row r="120" ht="25.2" customHeight="1" x14ac:dyDescent="0.3"/>
    <row r="121" ht="25.2" customHeight="1" x14ac:dyDescent="0.3"/>
    <row r="122" ht="25.2" customHeight="1" x14ac:dyDescent="0.3"/>
    <row r="123" ht="25.2" customHeight="1" x14ac:dyDescent="0.3"/>
    <row r="124" ht="25.2" customHeight="1" x14ac:dyDescent="0.3"/>
    <row r="125" ht="25.2" customHeight="1" x14ac:dyDescent="0.3"/>
    <row r="126" ht="25.2" customHeight="1" x14ac:dyDescent="0.3"/>
    <row r="127" ht="25.2" customHeight="1" x14ac:dyDescent="0.3"/>
    <row r="128" ht="25.2" customHeight="1" x14ac:dyDescent="0.3"/>
    <row r="129" ht="25.2" customHeight="1" x14ac:dyDescent="0.3"/>
    <row r="130" ht="25.2" customHeight="1" x14ac:dyDescent="0.3"/>
    <row r="131" ht="25.2" customHeight="1" x14ac:dyDescent="0.3"/>
    <row r="132" ht="25.2" customHeight="1" x14ac:dyDescent="0.3"/>
    <row r="133" ht="25.2" customHeight="1" x14ac:dyDescent="0.3"/>
    <row r="134" ht="25.2" customHeight="1" x14ac:dyDescent="0.3"/>
    <row r="135" ht="25.2" customHeight="1" x14ac:dyDescent="0.3"/>
    <row r="136" ht="25.2" customHeight="1" x14ac:dyDescent="0.3"/>
    <row r="137" ht="25.2" customHeight="1" x14ac:dyDescent="0.3"/>
    <row r="138" ht="25.2" customHeight="1" x14ac:dyDescent="0.3"/>
    <row r="139" ht="25.2" customHeight="1" x14ac:dyDescent="0.3"/>
    <row r="140" ht="25.2" customHeight="1" x14ac:dyDescent="0.3"/>
    <row r="141" ht="25.2" customHeight="1" x14ac:dyDescent="0.3"/>
    <row r="142" ht="25.2" customHeight="1" x14ac:dyDescent="0.3"/>
    <row r="143" ht="25.2" customHeight="1" x14ac:dyDescent="0.3"/>
    <row r="144" ht="25.2" customHeight="1" x14ac:dyDescent="0.3"/>
    <row r="145" ht="25.2" customHeight="1" x14ac:dyDescent="0.3"/>
    <row r="146" ht="25.2" customHeight="1" x14ac:dyDescent="0.3"/>
  </sheetData>
  <conditionalFormatting sqref="B4:AD16">
    <cfRule type="cellIs" dxfId="5" priority="3" operator="equal">
      <formula>0</formula>
    </cfRule>
    <cfRule type="cellIs" dxfId="4" priority="4" operator="equal">
      <formula>1</formula>
    </cfRule>
  </conditionalFormatting>
  <conditionalFormatting sqref="AE4:AK16">
    <cfRule type="cellIs" dxfId="3" priority="1" operator="equal">
      <formula>0</formula>
    </cfRule>
    <cfRule type="cellIs" dxfId="2" priority="2" operator="equal">
      <formula>1</formula>
    </cfRule>
  </conditionalFormatting>
  <dataValidations count="2">
    <dataValidation type="list" allowBlank="1" showInputMessage="1" showErrorMessage="1" sqref="B17:AF17" xr:uid="{52EB649F-B7A8-4C62-AFC6-31C79F44BAF8}">
      <formula1>"1 , 0"</formula1>
    </dataValidation>
    <dataValidation type="list" showInputMessage="1" showErrorMessage="1" errorTitle="Required" error="You must select ✔ or ✖" sqref="B4:AK16" xr:uid="{AA3B6C6C-B1BD-425D-8A80-4FA3BF5D2E20}">
      <formula1>"1 , 0"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F63E5-C292-431C-B29D-A1DA86F95997}">
  <sheetPr codeName="Sheet3"/>
  <dimension ref="A1:C794"/>
  <sheetViews>
    <sheetView workbookViewId="0">
      <selection activeCell="E30" sqref="E30:E31"/>
    </sheetView>
  </sheetViews>
  <sheetFormatPr defaultRowHeight="14.4" x14ac:dyDescent="0.3"/>
  <cols>
    <col min="1" max="1" width="9.5546875" style="12" bestFit="1" customWidth="1"/>
    <col min="2" max="2" width="19.6640625" bestFit="1" customWidth="1"/>
  </cols>
  <sheetData>
    <row r="1" spans="1:3" x14ac:dyDescent="0.3">
      <c r="A1" s="13" t="s">
        <v>27</v>
      </c>
      <c r="B1" s="10" t="s">
        <v>28</v>
      </c>
      <c r="C1" s="11" t="s">
        <v>29</v>
      </c>
    </row>
    <row r="2" spans="1:3" x14ac:dyDescent="0.3">
      <c r="A2" s="12">
        <v>46113</v>
      </c>
      <c r="B2" t="s">
        <v>5</v>
      </c>
      <c r="C2">
        <v>1</v>
      </c>
    </row>
    <row r="3" spans="1:3" x14ac:dyDescent="0.3">
      <c r="A3" s="12">
        <v>46114</v>
      </c>
      <c r="B3" t="s">
        <v>5</v>
      </c>
      <c r="C3">
        <v>1</v>
      </c>
    </row>
    <row r="4" spans="1:3" x14ac:dyDescent="0.3">
      <c r="A4" s="12">
        <v>46115</v>
      </c>
      <c r="B4" t="s">
        <v>5</v>
      </c>
      <c r="C4">
        <v>1</v>
      </c>
    </row>
    <row r="5" spans="1:3" x14ac:dyDescent="0.3">
      <c r="A5" s="12">
        <v>46116</v>
      </c>
      <c r="B5" t="s">
        <v>5</v>
      </c>
      <c r="C5">
        <v>1</v>
      </c>
    </row>
    <row r="6" spans="1:3" x14ac:dyDescent="0.3">
      <c r="A6" s="12">
        <v>46117</v>
      </c>
      <c r="B6" t="s">
        <v>5</v>
      </c>
      <c r="C6">
        <v>0</v>
      </c>
    </row>
    <row r="7" spans="1:3" x14ac:dyDescent="0.3">
      <c r="A7" s="12">
        <v>46118</v>
      </c>
      <c r="B7" t="s">
        <v>5</v>
      </c>
      <c r="C7">
        <v>1</v>
      </c>
    </row>
    <row r="8" spans="1:3" x14ac:dyDescent="0.3">
      <c r="A8" s="12">
        <v>46119</v>
      </c>
      <c r="B8" t="s">
        <v>5</v>
      </c>
      <c r="C8">
        <v>0</v>
      </c>
    </row>
    <row r="9" spans="1:3" x14ac:dyDescent="0.3">
      <c r="A9" s="12">
        <v>46120</v>
      </c>
      <c r="B9" t="s">
        <v>5</v>
      </c>
      <c r="C9">
        <v>0</v>
      </c>
    </row>
    <row r="10" spans="1:3" x14ac:dyDescent="0.3">
      <c r="A10" s="12">
        <v>46121</v>
      </c>
      <c r="B10" t="s">
        <v>5</v>
      </c>
      <c r="C10">
        <v>0</v>
      </c>
    </row>
    <row r="11" spans="1:3" x14ac:dyDescent="0.3">
      <c r="A11" s="12">
        <v>46122</v>
      </c>
      <c r="B11" t="s">
        <v>5</v>
      </c>
      <c r="C11">
        <v>0</v>
      </c>
    </row>
    <row r="12" spans="1:3" x14ac:dyDescent="0.3">
      <c r="A12" s="12">
        <v>46123</v>
      </c>
      <c r="B12" t="s">
        <v>5</v>
      </c>
      <c r="C12">
        <v>0</v>
      </c>
    </row>
    <row r="13" spans="1:3" x14ac:dyDescent="0.3">
      <c r="A13" s="12">
        <v>46124</v>
      </c>
      <c r="B13" t="s">
        <v>5</v>
      </c>
      <c r="C13">
        <v>0</v>
      </c>
    </row>
    <row r="14" spans="1:3" x14ac:dyDescent="0.3">
      <c r="A14" s="12">
        <v>46125</v>
      </c>
      <c r="B14" t="s">
        <v>5</v>
      </c>
      <c r="C14">
        <v>0</v>
      </c>
    </row>
    <row r="15" spans="1:3" x14ac:dyDescent="0.3">
      <c r="A15" s="12">
        <v>46126</v>
      </c>
      <c r="B15" t="s">
        <v>5</v>
      </c>
      <c r="C15">
        <v>0</v>
      </c>
    </row>
    <row r="16" spans="1:3" x14ac:dyDescent="0.3">
      <c r="A16" s="12">
        <v>46127</v>
      </c>
      <c r="B16" t="s">
        <v>5</v>
      </c>
      <c r="C16">
        <v>0</v>
      </c>
    </row>
    <row r="17" spans="1:3" x14ac:dyDescent="0.3">
      <c r="A17" s="12">
        <v>46128</v>
      </c>
      <c r="B17" t="s">
        <v>5</v>
      </c>
      <c r="C17">
        <v>0</v>
      </c>
    </row>
    <row r="18" spans="1:3" x14ac:dyDescent="0.3">
      <c r="A18" s="12">
        <v>46129</v>
      </c>
      <c r="B18" t="s">
        <v>5</v>
      </c>
      <c r="C18">
        <v>0</v>
      </c>
    </row>
    <row r="19" spans="1:3" x14ac:dyDescent="0.3">
      <c r="A19" s="12">
        <v>46130</v>
      </c>
      <c r="B19" t="s">
        <v>5</v>
      </c>
      <c r="C19">
        <v>0</v>
      </c>
    </row>
    <row r="20" spans="1:3" x14ac:dyDescent="0.3">
      <c r="A20" s="12">
        <v>46131</v>
      </c>
      <c r="B20" t="s">
        <v>5</v>
      </c>
      <c r="C20">
        <v>0</v>
      </c>
    </row>
    <row r="21" spans="1:3" x14ac:dyDescent="0.3">
      <c r="A21" s="12">
        <v>46132</v>
      </c>
      <c r="B21" t="s">
        <v>5</v>
      </c>
      <c r="C21">
        <v>0</v>
      </c>
    </row>
    <row r="22" spans="1:3" x14ac:dyDescent="0.3">
      <c r="A22" s="12">
        <v>46133</v>
      </c>
      <c r="B22" t="s">
        <v>5</v>
      </c>
      <c r="C22">
        <v>0</v>
      </c>
    </row>
    <row r="23" spans="1:3" x14ac:dyDescent="0.3">
      <c r="A23" s="12">
        <v>46134</v>
      </c>
      <c r="B23" t="s">
        <v>5</v>
      </c>
      <c r="C23">
        <v>0</v>
      </c>
    </row>
    <row r="24" spans="1:3" x14ac:dyDescent="0.3">
      <c r="A24" s="12">
        <v>46135</v>
      </c>
      <c r="B24" t="s">
        <v>5</v>
      </c>
      <c r="C24">
        <v>0</v>
      </c>
    </row>
    <row r="25" spans="1:3" x14ac:dyDescent="0.3">
      <c r="A25" s="12">
        <v>46136</v>
      </c>
      <c r="B25" t="s">
        <v>5</v>
      </c>
      <c r="C25">
        <v>0</v>
      </c>
    </row>
    <row r="26" spans="1:3" x14ac:dyDescent="0.3">
      <c r="A26" s="12">
        <v>46137</v>
      </c>
      <c r="B26" t="s">
        <v>5</v>
      </c>
      <c r="C26">
        <v>0</v>
      </c>
    </row>
    <row r="27" spans="1:3" x14ac:dyDescent="0.3">
      <c r="A27" s="12">
        <v>46138</v>
      </c>
      <c r="B27" t="s">
        <v>5</v>
      </c>
      <c r="C27">
        <v>0</v>
      </c>
    </row>
    <row r="28" spans="1:3" x14ac:dyDescent="0.3">
      <c r="A28" s="12">
        <v>46139</v>
      </c>
      <c r="B28" t="s">
        <v>5</v>
      </c>
      <c r="C28">
        <v>0</v>
      </c>
    </row>
    <row r="29" spans="1:3" x14ac:dyDescent="0.3">
      <c r="A29" s="12">
        <v>46140</v>
      </c>
      <c r="B29" t="s">
        <v>5</v>
      </c>
      <c r="C29">
        <v>0</v>
      </c>
    </row>
    <row r="30" spans="1:3" x14ac:dyDescent="0.3">
      <c r="A30" s="12">
        <v>46141</v>
      </c>
      <c r="B30" t="s">
        <v>5</v>
      </c>
      <c r="C30">
        <v>0</v>
      </c>
    </row>
    <row r="31" spans="1:3" x14ac:dyDescent="0.3">
      <c r="A31" s="12">
        <v>46142</v>
      </c>
      <c r="B31" t="s">
        <v>5</v>
      </c>
      <c r="C31">
        <v>0</v>
      </c>
    </row>
    <row r="32" spans="1:3" x14ac:dyDescent="0.3">
      <c r="A32" s="12">
        <v>46113</v>
      </c>
      <c r="B32" t="s">
        <v>7</v>
      </c>
      <c r="C32">
        <v>1</v>
      </c>
    </row>
    <row r="33" spans="1:3" x14ac:dyDescent="0.3">
      <c r="A33" s="12">
        <v>46114</v>
      </c>
      <c r="B33" t="s">
        <v>7</v>
      </c>
      <c r="C33">
        <v>1</v>
      </c>
    </row>
    <row r="34" spans="1:3" x14ac:dyDescent="0.3">
      <c r="A34" s="12">
        <v>46115</v>
      </c>
      <c r="B34" t="s">
        <v>7</v>
      </c>
      <c r="C34">
        <v>0</v>
      </c>
    </row>
    <row r="35" spans="1:3" x14ac:dyDescent="0.3">
      <c r="A35" s="12">
        <v>46116</v>
      </c>
      <c r="B35" t="s">
        <v>7</v>
      </c>
      <c r="C35">
        <v>1</v>
      </c>
    </row>
    <row r="36" spans="1:3" x14ac:dyDescent="0.3">
      <c r="A36" s="12">
        <v>46117</v>
      </c>
      <c r="B36" t="s">
        <v>7</v>
      </c>
      <c r="C36">
        <v>0</v>
      </c>
    </row>
    <row r="37" spans="1:3" x14ac:dyDescent="0.3">
      <c r="A37" s="12">
        <v>46118</v>
      </c>
      <c r="B37" t="s">
        <v>7</v>
      </c>
      <c r="C37">
        <v>0</v>
      </c>
    </row>
    <row r="38" spans="1:3" x14ac:dyDescent="0.3">
      <c r="A38" s="12">
        <v>46119</v>
      </c>
      <c r="B38" t="s">
        <v>7</v>
      </c>
      <c r="C38">
        <v>0</v>
      </c>
    </row>
    <row r="39" spans="1:3" x14ac:dyDescent="0.3">
      <c r="A39" s="12">
        <v>46120</v>
      </c>
      <c r="B39" t="s">
        <v>7</v>
      </c>
      <c r="C39">
        <v>0</v>
      </c>
    </row>
    <row r="40" spans="1:3" x14ac:dyDescent="0.3">
      <c r="A40" s="12">
        <v>46121</v>
      </c>
      <c r="B40" t="s">
        <v>7</v>
      </c>
      <c r="C40">
        <v>0</v>
      </c>
    </row>
    <row r="41" spans="1:3" x14ac:dyDescent="0.3">
      <c r="A41" s="12">
        <v>46122</v>
      </c>
      <c r="B41" t="s">
        <v>7</v>
      </c>
      <c r="C41">
        <v>0</v>
      </c>
    </row>
    <row r="42" spans="1:3" x14ac:dyDescent="0.3">
      <c r="A42" s="12">
        <v>46123</v>
      </c>
      <c r="B42" t="s">
        <v>7</v>
      </c>
      <c r="C42">
        <v>0</v>
      </c>
    </row>
    <row r="43" spans="1:3" x14ac:dyDescent="0.3">
      <c r="A43" s="12">
        <v>46124</v>
      </c>
      <c r="B43" t="s">
        <v>7</v>
      </c>
      <c r="C43">
        <v>0</v>
      </c>
    </row>
    <row r="44" spans="1:3" x14ac:dyDescent="0.3">
      <c r="A44" s="12">
        <v>46125</v>
      </c>
      <c r="B44" t="s">
        <v>7</v>
      </c>
      <c r="C44">
        <v>0</v>
      </c>
    </row>
    <row r="45" spans="1:3" x14ac:dyDescent="0.3">
      <c r="A45" s="12">
        <v>46126</v>
      </c>
      <c r="B45" t="s">
        <v>7</v>
      </c>
      <c r="C45">
        <v>0</v>
      </c>
    </row>
    <row r="46" spans="1:3" x14ac:dyDescent="0.3">
      <c r="A46" s="12">
        <v>46127</v>
      </c>
      <c r="B46" t="s">
        <v>7</v>
      </c>
      <c r="C46">
        <v>0</v>
      </c>
    </row>
    <row r="47" spans="1:3" x14ac:dyDescent="0.3">
      <c r="A47" s="12">
        <v>46128</v>
      </c>
      <c r="B47" t="s">
        <v>7</v>
      </c>
      <c r="C47">
        <v>0</v>
      </c>
    </row>
    <row r="48" spans="1:3" x14ac:dyDescent="0.3">
      <c r="A48" s="12">
        <v>46129</v>
      </c>
      <c r="B48" t="s">
        <v>7</v>
      </c>
      <c r="C48">
        <v>0</v>
      </c>
    </row>
    <row r="49" spans="1:3" x14ac:dyDescent="0.3">
      <c r="A49" s="12">
        <v>46130</v>
      </c>
      <c r="B49" t="s">
        <v>7</v>
      </c>
      <c r="C49">
        <v>0</v>
      </c>
    </row>
    <row r="50" spans="1:3" x14ac:dyDescent="0.3">
      <c r="A50" s="12">
        <v>46131</v>
      </c>
      <c r="B50" t="s">
        <v>7</v>
      </c>
      <c r="C50">
        <v>0</v>
      </c>
    </row>
    <row r="51" spans="1:3" x14ac:dyDescent="0.3">
      <c r="A51" s="12">
        <v>46132</v>
      </c>
      <c r="B51" t="s">
        <v>7</v>
      </c>
      <c r="C51">
        <v>0</v>
      </c>
    </row>
    <row r="52" spans="1:3" x14ac:dyDescent="0.3">
      <c r="A52" s="12">
        <v>46133</v>
      </c>
      <c r="B52" t="s">
        <v>7</v>
      </c>
      <c r="C52">
        <v>0</v>
      </c>
    </row>
    <row r="53" spans="1:3" x14ac:dyDescent="0.3">
      <c r="A53" s="12">
        <v>46134</v>
      </c>
      <c r="B53" t="s">
        <v>7</v>
      </c>
      <c r="C53">
        <v>0</v>
      </c>
    </row>
    <row r="54" spans="1:3" x14ac:dyDescent="0.3">
      <c r="A54" s="12">
        <v>46135</v>
      </c>
      <c r="B54" t="s">
        <v>7</v>
      </c>
      <c r="C54">
        <v>0</v>
      </c>
    </row>
    <row r="55" spans="1:3" x14ac:dyDescent="0.3">
      <c r="A55" s="12">
        <v>46136</v>
      </c>
      <c r="B55" t="s">
        <v>7</v>
      </c>
      <c r="C55">
        <v>0</v>
      </c>
    </row>
    <row r="56" spans="1:3" x14ac:dyDescent="0.3">
      <c r="A56" s="12">
        <v>46137</v>
      </c>
      <c r="B56" t="s">
        <v>7</v>
      </c>
      <c r="C56">
        <v>0</v>
      </c>
    </row>
    <row r="57" spans="1:3" x14ac:dyDescent="0.3">
      <c r="A57" s="12">
        <v>46138</v>
      </c>
      <c r="B57" t="s">
        <v>7</v>
      </c>
      <c r="C57">
        <v>0</v>
      </c>
    </row>
    <row r="58" spans="1:3" x14ac:dyDescent="0.3">
      <c r="A58" s="12">
        <v>46139</v>
      </c>
      <c r="B58" t="s">
        <v>7</v>
      </c>
      <c r="C58">
        <v>0</v>
      </c>
    </row>
    <row r="59" spans="1:3" x14ac:dyDescent="0.3">
      <c r="A59" s="12">
        <v>46140</v>
      </c>
      <c r="B59" t="s">
        <v>7</v>
      </c>
      <c r="C59">
        <v>0</v>
      </c>
    </row>
    <row r="60" spans="1:3" x14ac:dyDescent="0.3">
      <c r="A60" s="12">
        <v>46141</v>
      </c>
      <c r="B60" t="s">
        <v>7</v>
      </c>
      <c r="C60">
        <v>0</v>
      </c>
    </row>
    <row r="61" spans="1:3" x14ac:dyDescent="0.3">
      <c r="A61" s="12">
        <v>46142</v>
      </c>
      <c r="B61" t="s">
        <v>7</v>
      </c>
      <c r="C61">
        <v>0</v>
      </c>
    </row>
    <row r="62" spans="1:3" x14ac:dyDescent="0.3">
      <c r="A62" s="12">
        <v>46113</v>
      </c>
      <c r="B62" t="s">
        <v>30</v>
      </c>
      <c r="C62">
        <v>0</v>
      </c>
    </row>
    <row r="63" spans="1:3" x14ac:dyDescent="0.3">
      <c r="A63" s="12">
        <v>46114</v>
      </c>
      <c r="B63" t="s">
        <v>30</v>
      </c>
      <c r="C63">
        <v>1</v>
      </c>
    </row>
    <row r="64" spans="1:3" x14ac:dyDescent="0.3">
      <c r="A64" s="12">
        <v>46115</v>
      </c>
      <c r="B64" t="s">
        <v>30</v>
      </c>
      <c r="C64">
        <v>0</v>
      </c>
    </row>
    <row r="65" spans="1:3" x14ac:dyDescent="0.3">
      <c r="A65" s="12">
        <v>46116</v>
      </c>
      <c r="B65" t="s">
        <v>30</v>
      </c>
      <c r="C65">
        <v>1</v>
      </c>
    </row>
    <row r="66" spans="1:3" x14ac:dyDescent="0.3">
      <c r="A66" s="12">
        <v>46117</v>
      </c>
      <c r="B66" t="s">
        <v>30</v>
      </c>
      <c r="C66">
        <v>1</v>
      </c>
    </row>
    <row r="67" spans="1:3" x14ac:dyDescent="0.3">
      <c r="A67" s="12">
        <v>46118</v>
      </c>
      <c r="B67" t="s">
        <v>30</v>
      </c>
      <c r="C67">
        <v>1</v>
      </c>
    </row>
    <row r="68" spans="1:3" x14ac:dyDescent="0.3">
      <c r="A68" s="12">
        <v>46119</v>
      </c>
      <c r="B68" t="s">
        <v>30</v>
      </c>
      <c r="C68">
        <v>0</v>
      </c>
    </row>
    <row r="69" spans="1:3" x14ac:dyDescent="0.3">
      <c r="A69" s="12">
        <v>46120</v>
      </c>
      <c r="B69" t="s">
        <v>30</v>
      </c>
      <c r="C69">
        <v>0</v>
      </c>
    </row>
    <row r="70" spans="1:3" x14ac:dyDescent="0.3">
      <c r="A70" s="12">
        <v>46121</v>
      </c>
      <c r="B70" t="s">
        <v>30</v>
      </c>
      <c r="C70">
        <v>0</v>
      </c>
    </row>
    <row r="71" spans="1:3" x14ac:dyDescent="0.3">
      <c r="A71" s="12">
        <v>46122</v>
      </c>
      <c r="B71" t="s">
        <v>30</v>
      </c>
      <c r="C71">
        <v>0</v>
      </c>
    </row>
    <row r="72" spans="1:3" x14ac:dyDescent="0.3">
      <c r="A72" s="12">
        <v>46123</v>
      </c>
      <c r="B72" t="s">
        <v>30</v>
      </c>
      <c r="C72">
        <v>0</v>
      </c>
    </row>
    <row r="73" spans="1:3" x14ac:dyDescent="0.3">
      <c r="A73" s="12">
        <v>46124</v>
      </c>
      <c r="B73" t="s">
        <v>30</v>
      </c>
      <c r="C73">
        <v>0</v>
      </c>
    </row>
    <row r="74" spans="1:3" x14ac:dyDescent="0.3">
      <c r="A74" s="12">
        <v>46125</v>
      </c>
      <c r="B74" t="s">
        <v>30</v>
      </c>
      <c r="C74">
        <v>0</v>
      </c>
    </row>
    <row r="75" spans="1:3" x14ac:dyDescent="0.3">
      <c r="A75" s="12">
        <v>46126</v>
      </c>
      <c r="B75" t="s">
        <v>30</v>
      </c>
      <c r="C75">
        <v>0</v>
      </c>
    </row>
    <row r="76" spans="1:3" x14ac:dyDescent="0.3">
      <c r="A76" s="12">
        <v>46127</v>
      </c>
      <c r="B76" t="s">
        <v>30</v>
      </c>
      <c r="C76">
        <v>0</v>
      </c>
    </row>
    <row r="77" spans="1:3" x14ac:dyDescent="0.3">
      <c r="A77" s="12">
        <v>46128</v>
      </c>
      <c r="B77" t="s">
        <v>30</v>
      </c>
      <c r="C77">
        <v>0</v>
      </c>
    </row>
    <row r="78" spans="1:3" x14ac:dyDescent="0.3">
      <c r="A78" s="12">
        <v>46129</v>
      </c>
      <c r="B78" t="s">
        <v>30</v>
      </c>
      <c r="C78">
        <v>0</v>
      </c>
    </row>
    <row r="79" spans="1:3" x14ac:dyDescent="0.3">
      <c r="A79" s="12">
        <v>46130</v>
      </c>
      <c r="B79" t="s">
        <v>30</v>
      </c>
      <c r="C79">
        <v>0</v>
      </c>
    </row>
    <row r="80" spans="1:3" x14ac:dyDescent="0.3">
      <c r="A80" s="12">
        <v>46131</v>
      </c>
      <c r="B80" t="s">
        <v>30</v>
      </c>
      <c r="C80">
        <v>0</v>
      </c>
    </row>
    <row r="81" spans="1:3" x14ac:dyDescent="0.3">
      <c r="A81" s="12">
        <v>46132</v>
      </c>
      <c r="B81" t="s">
        <v>30</v>
      </c>
      <c r="C81">
        <v>0</v>
      </c>
    </row>
    <row r="82" spans="1:3" x14ac:dyDescent="0.3">
      <c r="A82" s="12">
        <v>46133</v>
      </c>
      <c r="B82" t="s">
        <v>30</v>
      </c>
      <c r="C82">
        <v>0</v>
      </c>
    </row>
    <row r="83" spans="1:3" x14ac:dyDescent="0.3">
      <c r="A83" s="12">
        <v>46134</v>
      </c>
      <c r="B83" t="s">
        <v>30</v>
      </c>
      <c r="C83">
        <v>0</v>
      </c>
    </row>
    <row r="84" spans="1:3" x14ac:dyDescent="0.3">
      <c r="A84" s="12">
        <v>46135</v>
      </c>
      <c r="B84" t="s">
        <v>30</v>
      </c>
      <c r="C84">
        <v>0</v>
      </c>
    </row>
    <row r="85" spans="1:3" x14ac:dyDescent="0.3">
      <c r="A85" s="12">
        <v>46136</v>
      </c>
      <c r="B85" t="s">
        <v>30</v>
      </c>
      <c r="C85">
        <v>0</v>
      </c>
    </row>
    <row r="86" spans="1:3" x14ac:dyDescent="0.3">
      <c r="A86" s="12">
        <v>46137</v>
      </c>
      <c r="B86" t="s">
        <v>30</v>
      </c>
      <c r="C86">
        <v>0</v>
      </c>
    </row>
    <row r="87" spans="1:3" x14ac:dyDescent="0.3">
      <c r="A87" s="12">
        <v>46138</v>
      </c>
      <c r="B87" t="s">
        <v>30</v>
      </c>
      <c r="C87">
        <v>0</v>
      </c>
    </row>
    <row r="88" spans="1:3" x14ac:dyDescent="0.3">
      <c r="A88" s="12">
        <v>46139</v>
      </c>
      <c r="B88" t="s">
        <v>30</v>
      </c>
      <c r="C88">
        <v>0</v>
      </c>
    </row>
    <row r="89" spans="1:3" x14ac:dyDescent="0.3">
      <c r="A89" s="12">
        <v>46140</v>
      </c>
      <c r="B89" t="s">
        <v>30</v>
      </c>
      <c r="C89">
        <v>0</v>
      </c>
    </row>
    <row r="90" spans="1:3" x14ac:dyDescent="0.3">
      <c r="A90" s="12">
        <v>46141</v>
      </c>
      <c r="B90" t="s">
        <v>30</v>
      </c>
      <c r="C90">
        <v>0</v>
      </c>
    </row>
    <row r="91" spans="1:3" x14ac:dyDescent="0.3">
      <c r="A91" s="12">
        <v>46142</v>
      </c>
      <c r="B91" t="s">
        <v>30</v>
      </c>
      <c r="C91">
        <v>0</v>
      </c>
    </row>
    <row r="92" spans="1:3" x14ac:dyDescent="0.3">
      <c r="A92" s="12">
        <v>46113</v>
      </c>
      <c r="B92" t="s">
        <v>10</v>
      </c>
      <c r="C92">
        <v>0</v>
      </c>
    </row>
    <row r="93" spans="1:3" x14ac:dyDescent="0.3">
      <c r="A93" s="12">
        <v>46114</v>
      </c>
      <c r="B93" t="s">
        <v>10</v>
      </c>
      <c r="C93">
        <v>1</v>
      </c>
    </row>
    <row r="94" spans="1:3" x14ac:dyDescent="0.3">
      <c r="A94" s="12">
        <v>46115</v>
      </c>
      <c r="B94" t="s">
        <v>10</v>
      </c>
      <c r="C94">
        <v>0</v>
      </c>
    </row>
    <row r="95" spans="1:3" x14ac:dyDescent="0.3">
      <c r="A95" s="12">
        <v>46116</v>
      </c>
      <c r="B95" t="s">
        <v>10</v>
      </c>
      <c r="C95">
        <v>0</v>
      </c>
    </row>
    <row r="96" spans="1:3" x14ac:dyDescent="0.3">
      <c r="A96" s="12">
        <v>46117</v>
      </c>
      <c r="B96" t="s">
        <v>10</v>
      </c>
      <c r="C96">
        <v>0</v>
      </c>
    </row>
    <row r="97" spans="1:3" x14ac:dyDescent="0.3">
      <c r="A97" s="12">
        <v>46118</v>
      </c>
      <c r="B97" t="s">
        <v>10</v>
      </c>
      <c r="C97">
        <v>1</v>
      </c>
    </row>
    <row r="98" spans="1:3" x14ac:dyDescent="0.3">
      <c r="A98" s="12">
        <v>46119</v>
      </c>
      <c r="B98" t="s">
        <v>10</v>
      </c>
      <c r="C98">
        <v>0</v>
      </c>
    </row>
    <row r="99" spans="1:3" x14ac:dyDescent="0.3">
      <c r="A99" s="12">
        <v>46120</v>
      </c>
      <c r="B99" t="s">
        <v>10</v>
      </c>
      <c r="C99">
        <v>0</v>
      </c>
    </row>
    <row r="100" spans="1:3" x14ac:dyDescent="0.3">
      <c r="A100" s="12">
        <v>46121</v>
      </c>
      <c r="B100" t="s">
        <v>10</v>
      </c>
      <c r="C100">
        <v>0</v>
      </c>
    </row>
    <row r="101" spans="1:3" x14ac:dyDescent="0.3">
      <c r="A101" s="12">
        <v>46122</v>
      </c>
      <c r="B101" t="s">
        <v>10</v>
      </c>
      <c r="C101">
        <v>0</v>
      </c>
    </row>
    <row r="102" spans="1:3" x14ac:dyDescent="0.3">
      <c r="A102" s="12">
        <v>46123</v>
      </c>
      <c r="B102" t="s">
        <v>10</v>
      </c>
      <c r="C102">
        <v>0</v>
      </c>
    </row>
    <row r="103" spans="1:3" x14ac:dyDescent="0.3">
      <c r="A103" s="12">
        <v>46124</v>
      </c>
      <c r="B103" t="s">
        <v>10</v>
      </c>
      <c r="C103">
        <v>0</v>
      </c>
    </row>
    <row r="104" spans="1:3" x14ac:dyDescent="0.3">
      <c r="A104" s="12">
        <v>46125</v>
      </c>
      <c r="B104" t="s">
        <v>10</v>
      </c>
      <c r="C104">
        <v>0</v>
      </c>
    </row>
    <row r="105" spans="1:3" x14ac:dyDescent="0.3">
      <c r="A105" s="12">
        <v>46126</v>
      </c>
      <c r="B105" t="s">
        <v>10</v>
      </c>
      <c r="C105">
        <v>0</v>
      </c>
    </row>
    <row r="106" spans="1:3" x14ac:dyDescent="0.3">
      <c r="A106" s="12">
        <v>46127</v>
      </c>
      <c r="B106" t="s">
        <v>10</v>
      </c>
      <c r="C106">
        <v>0</v>
      </c>
    </row>
    <row r="107" spans="1:3" x14ac:dyDescent="0.3">
      <c r="A107" s="12">
        <v>46128</v>
      </c>
      <c r="B107" t="s">
        <v>10</v>
      </c>
      <c r="C107">
        <v>0</v>
      </c>
    </row>
    <row r="108" spans="1:3" x14ac:dyDescent="0.3">
      <c r="A108" s="12">
        <v>46129</v>
      </c>
      <c r="B108" t="s">
        <v>10</v>
      </c>
      <c r="C108">
        <v>0</v>
      </c>
    </row>
    <row r="109" spans="1:3" x14ac:dyDescent="0.3">
      <c r="A109" s="12">
        <v>46130</v>
      </c>
      <c r="B109" t="s">
        <v>10</v>
      </c>
      <c r="C109">
        <v>0</v>
      </c>
    </row>
    <row r="110" spans="1:3" x14ac:dyDescent="0.3">
      <c r="A110" s="12">
        <v>46131</v>
      </c>
      <c r="B110" t="s">
        <v>10</v>
      </c>
      <c r="C110">
        <v>0</v>
      </c>
    </row>
    <row r="111" spans="1:3" x14ac:dyDescent="0.3">
      <c r="A111" s="12">
        <v>46132</v>
      </c>
      <c r="B111" t="s">
        <v>10</v>
      </c>
      <c r="C111">
        <v>0</v>
      </c>
    </row>
    <row r="112" spans="1:3" x14ac:dyDescent="0.3">
      <c r="A112" s="12">
        <v>46133</v>
      </c>
      <c r="B112" t="s">
        <v>10</v>
      </c>
      <c r="C112">
        <v>0</v>
      </c>
    </row>
    <row r="113" spans="1:3" x14ac:dyDescent="0.3">
      <c r="A113" s="12">
        <v>46134</v>
      </c>
      <c r="B113" t="s">
        <v>10</v>
      </c>
      <c r="C113">
        <v>0</v>
      </c>
    </row>
    <row r="114" spans="1:3" x14ac:dyDescent="0.3">
      <c r="A114" s="12">
        <v>46135</v>
      </c>
      <c r="B114" t="s">
        <v>10</v>
      </c>
      <c r="C114">
        <v>0</v>
      </c>
    </row>
    <row r="115" spans="1:3" x14ac:dyDescent="0.3">
      <c r="A115" s="12">
        <v>46136</v>
      </c>
      <c r="B115" t="s">
        <v>10</v>
      </c>
      <c r="C115">
        <v>0</v>
      </c>
    </row>
    <row r="116" spans="1:3" x14ac:dyDescent="0.3">
      <c r="A116" s="12">
        <v>46137</v>
      </c>
      <c r="B116" t="s">
        <v>10</v>
      </c>
      <c r="C116">
        <v>0</v>
      </c>
    </row>
    <row r="117" spans="1:3" x14ac:dyDescent="0.3">
      <c r="A117" s="12">
        <v>46138</v>
      </c>
      <c r="B117" t="s">
        <v>10</v>
      </c>
      <c r="C117">
        <v>0</v>
      </c>
    </row>
    <row r="118" spans="1:3" x14ac:dyDescent="0.3">
      <c r="A118" s="12">
        <v>46139</v>
      </c>
      <c r="B118" t="s">
        <v>10</v>
      </c>
      <c r="C118">
        <v>0</v>
      </c>
    </row>
    <row r="119" spans="1:3" x14ac:dyDescent="0.3">
      <c r="A119" s="12">
        <v>46140</v>
      </c>
      <c r="B119" t="s">
        <v>10</v>
      </c>
      <c r="C119">
        <v>0</v>
      </c>
    </row>
    <row r="120" spans="1:3" x14ac:dyDescent="0.3">
      <c r="A120" s="12">
        <v>46141</v>
      </c>
      <c r="B120" t="s">
        <v>10</v>
      </c>
      <c r="C120">
        <v>0</v>
      </c>
    </row>
    <row r="121" spans="1:3" x14ac:dyDescent="0.3">
      <c r="A121" s="12">
        <v>46142</v>
      </c>
      <c r="B121" t="s">
        <v>10</v>
      </c>
      <c r="C121">
        <v>0</v>
      </c>
    </row>
    <row r="122" spans="1:3" x14ac:dyDescent="0.3">
      <c r="A122" s="12">
        <v>46113</v>
      </c>
      <c r="B122" t="s">
        <v>12</v>
      </c>
      <c r="C122">
        <v>1</v>
      </c>
    </row>
    <row r="123" spans="1:3" x14ac:dyDescent="0.3">
      <c r="A123" s="12">
        <v>46114</v>
      </c>
      <c r="B123" t="s">
        <v>12</v>
      </c>
      <c r="C123">
        <v>1</v>
      </c>
    </row>
    <row r="124" spans="1:3" x14ac:dyDescent="0.3">
      <c r="A124" s="12">
        <v>46115</v>
      </c>
      <c r="B124" t="s">
        <v>12</v>
      </c>
      <c r="C124">
        <v>1</v>
      </c>
    </row>
    <row r="125" spans="1:3" x14ac:dyDescent="0.3">
      <c r="A125" s="12">
        <v>46116</v>
      </c>
      <c r="B125" t="s">
        <v>12</v>
      </c>
      <c r="C125">
        <v>1</v>
      </c>
    </row>
    <row r="126" spans="1:3" x14ac:dyDescent="0.3">
      <c r="A126" s="12">
        <v>46117</v>
      </c>
      <c r="B126" t="s">
        <v>12</v>
      </c>
      <c r="C126">
        <v>1</v>
      </c>
    </row>
    <row r="127" spans="1:3" x14ac:dyDescent="0.3">
      <c r="A127" s="12">
        <v>46118</v>
      </c>
      <c r="B127" t="s">
        <v>12</v>
      </c>
      <c r="C127">
        <v>1</v>
      </c>
    </row>
    <row r="128" spans="1:3" x14ac:dyDescent="0.3">
      <c r="A128" s="12">
        <v>46119</v>
      </c>
      <c r="B128" t="s">
        <v>12</v>
      </c>
      <c r="C128">
        <v>0</v>
      </c>
    </row>
    <row r="129" spans="1:3" x14ac:dyDescent="0.3">
      <c r="A129" s="12">
        <v>46120</v>
      </c>
      <c r="B129" t="s">
        <v>12</v>
      </c>
      <c r="C129">
        <v>0</v>
      </c>
    </row>
    <row r="130" spans="1:3" x14ac:dyDescent="0.3">
      <c r="A130" s="12">
        <v>46121</v>
      </c>
      <c r="B130" t="s">
        <v>12</v>
      </c>
      <c r="C130">
        <v>0</v>
      </c>
    </row>
    <row r="131" spans="1:3" x14ac:dyDescent="0.3">
      <c r="A131" s="12">
        <v>46122</v>
      </c>
      <c r="B131" t="s">
        <v>12</v>
      </c>
      <c r="C131">
        <v>0</v>
      </c>
    </row>
    <row r="132" spans="1:3" x14ac:dyDescent="0.3">
      <c r="A132" s="12">
        <v>46123</v>
      </c>
      <c r="B132" t="s">
        <v>12</v>
      </c>
      <c r="C132">
        <v>0</v>
      </c>
    </row>
    <row r="133" spans="1:3" x14ac:dyDescent="0.3">
      <c r="A133" s="12">
        <v>46124</v>
      </c>
      <c r="B133" t="s">
        <v>12</v>
      </c>
      <c r="C133">
        <v>0</v>
      </c>
    </row>
    <row r="134" spans="1:3" x14ac:dyDescent="0.3">
      <c r="A134" s="12">
        <v>46125</v>
      </c>
      <c r="B134" t="s">
        <v>12</v>
      </c>
      <c r="C134">
        <v>0</v>
      </c>
    </row>
    <row r="135" spans="1:3" x14ac:dyDescent="0.3">
      <c r="A135" s="12">
        <v>46126</v>
      </c>
      <c r="B135" t="s">
        <v>12</v>
      </c>
      <c r="C135">
        <v>0</v>
      </c>
    </row>
    <row r="136" spans="1:3" x14ac:dyDescent="0.3">
      <c r="A136" s="12">
        <v>46127</v>
      </c>
      <c r="B136" t="s">
        <v>12</v>
      </c>
      <c r="C136">
        <v>0</v>
      </c>
    </row>
    <row r="137" spans="1:3" x14ac:dyDescent="0.3">
      <c r="A137" s="12">
        <v>46128</v>
      </c>
      <c r="B137" t="s">
        <v>12</v>
      </c>
      <c r="C137">
        <v>0</v>
      </c>
    </row>
    <row r="138" spans="1:3" x14ac:dyDescent="0.3">
      <c r="A138" s="12">
        <v>46129</v>
      </c>
      <c r="B138" t="s">
        <v>12</v>
      </c>
      <c r="C138">
        <v>0</v>
      </c>
    </row>
    <row r="139" spans="1:3" x14ac:dyDescent="0.3">
      <c r="A139" s="12">
        <v>46130</v>
      </c>
      <c r="B139" t="s">
        <v>12</v>
      </c>
      <c r="C139">
        <v>0</v>
      </c>
    </row>
    <row r="140" spans="1:3" x14ac:dyDescent="0.3">
      <c r="A140" s="12">
        <v>46131</v>
      </c>
      <c r="B140" t="s">
        <v>12</v>
      </c>
      <c r="C140">
        <v>0</v>
      </c>
    </row>
    <row r="141" spans="1:3" x14ac:dyDescent="0.3">
      <c r="A141" s="12">
        <v>46132</v>
      </c>
      <c r="B141" t="s">
        <v>12</v>
      </c>
      <c r="C141">
        <v>0</v>
      </c>
    </row>
    <row r="142" spans="1:3" x14ac:dyDescent="0.3">
      <c r="A142" s="12">
        <v>46133</v>
      </c>
      <c r="B142" t="s">
        <v>12</v>
      </c>
      <c r="C142">
        <v>0</v>
      </c>
    </row>
    <row r="143" spans="1:3" x14ac:dyDescent="0.3">
      <c r="A143" s="12">
        <v>46134</v>
      </c>
      <c r="B143" t="s">
        <v>12</v>
      </c>
      <c r="C143">
        <v>0</v>
      </c>
    </row>
    <row r="144" spans="1:3" x14ac:dyDescent="0.3">
      <c r="A144" s="12">
        <v>46135</v>
      </c>
      <c r="B144" t="s">
        <v>12</v>
      </c>
      <c r="C144">
        <v>0</v>
      </c>
    </row>
    <row r="145" spans="1:3" x14ac:dyDescent="0.3">
      <c r="A145" s="12">
        <v>46136</v>
      </c>
      <c r="B145" t="s">
        <v>12</v>
      </c>
      <c r="C145">
        <v>0</v>
      </c>
    </row>
    <row r="146" spans="1:3" x14ac:dyDescent="0.3">
      <c r="A146" s="12">
        <v>46137</v>
      </c>
      <c r="B146" t="s">
        <v>12</v>
      </c>
      <c r="C146">
        <v>0</v>
      </c>
    </row>
    <row r="147" spans="1:3" x14ac:dyDescent="0.3">
      <c r="A147" s="12">
        <v>46138</v>
      </c>
      <c r="B147" t="s">
        <v>12</v>
      </c>
      <c r="C147">
        <v>0</v>
      </c>
    </row>
    <row r="148" spans="1:3" x14ac:dyDescent="0.3">
      <c r="A148" s="12">
        <v>46139</v>
      </c>
      <c r="B148" t="s">
        <v>12</v>
      </c>
      <c r="C148">
        <v>0</v>
      </c>
    </row>
    <row r="149" spans="1:3" x14ac:dyDescent="0.3">
      <c r="A149" s="12">
        <v>46140</v>
      </c>
      <c r="B149" t="s">
        <v>12</v>
      </c>
      <c r="C149">
        <v>0</v>
      </c>
    </row>
    <row r="150" spans="1:3" x14ac:dyDescent="0.3">
      <c r="A150" s="12">
        <v>46141</v>
      </c>
      <c r="B150" t="s">
        <v>12</v>
      </c>
      <c r="C150">
        <v>0</v>
      </c>
    </row>
    <row r="151" spans="1:3" x14ac:dyDescent="0.3">
      <c r="A151" s="12">
        <v>46142</v>
      </c>
      <c r="B151" t="s">
        <v>12</v>
      </c>
      <c r="C151">
        <v>0</v>
      </c>
    </row>
    <row r="152" spans="1:3" x14ac:dyDescent="0.3">
      <c r="A152" s="12">
        <v>46113</v>
      </c>
      <c r="B152" t="s">
        <v>14</v>
      </c>
      <c r="C152">
        <v>1</v>
      </c>
    </row>
    <row r="153" spans="1:3" x14ac:dyDescent="0.3">
      <c r="A153" s="12">
        <v>46114</v>
      </c>
      <c r="B153" t="s">
        <v>14</v>
      </c>
      <c r="C153">
        <v>0</v>
      </c>
    </row>
    <row r="154" spans="1:3" x14ac:dyDescent="0.3">
      <c r="A154" s="12">
        <v>46115</v>
      </c>
      <c r="B154" t="s">
        <v>14</v>
      </c>
      <c r="C154">
        <v>1</v>
      </c>
    </row>
    <row r="155" spans="1:3" x14ac:dyDescent="0.3">
      <c r="A155" s="12">
        <v>46116</v>
      </c>
      <c r="B155" t="s">
        <v>14</v>
      </c>
      <c r="C155">
        <v>1</v>
      </c>
    </row>
    <row r="156" spans="1:3" x14ac:dyDescent="0.3">
      <c r="A156" s="12">
        <v>46117</v>
      </c>
      <c r="B156" t="s">
        <v>14</v>
      </c>
      <c r="C156">
        <v>1</v>
      </c>
    </row>
    <row r="157" spans="1:3" x14ac:dyDescent="0.3">
      <c r="A157" s="12">
        <v>46118</v>
      </c>
      <c r="B157" t="s">
        <v>14</v>
      </c>
      <c r="C157">
        <v>0</v>
      </c>
    </row>
    <row r="158" spans="1:3" x14ac:dyDescent="0.3">
      <c r="A158" s="12">
        <v>46119</v>
      </c>
      <c r="B158" t="s">
        <v>14</v>
      </c>
      <c r="C158">
        <v>0</v>
      </c>
    </row>
    <row r="159" spans="1:3" x14ac:dyDescent="0.3">
      <c r="A159" s="12">
        <v>46120</v>
      </c>
      <c r="B159" t="s">
        <v>14</v>
      </c>
      <c r="C159">
        <v>0</v>
      </c>
    </row>
    <row r="160" spans="1:3" x14ac:dyDescent="0.3">
      <c r="A160" s="12">
        <v>46121</v>
      </c>
      <c r="B160" t="s">
        <v>14</v>
      </c>
      <c r="C160">
        <v>0</v>
      </c>
    </row>
    <row r="161" spans="1:3" x14ac:dyDescent="0.3">
      <c r="A161" s="12">
        <v>46122</v>
      </c>
      <c r="B161" t="s">
        <v>14</v>
      </c>
      <c r="C161">
        <v>0</v>
      </c>
    </row>
    <row r="162" spans="1:3" x14ac:dyDescent="0.3">
      <c r="A162" s="12">
        <v>46123</v>
      </c>
      <c r="B162" t="s">
        <v>14</v>
      </c>
      <c r="C162">
        <v>0</v>
      </c>
    </row>
    <row r="163" spans="1:3" x14ac:dyDescent="0.3">
      <c r="A163" s="12">
        <v>46124</v>
      </c>
      <c r="B163" t="s">
        <v>14</v>
      </c>
      <c r="C163">
        <v>0</v>
      </c>
    </row>
    <row r="164" spans="1:3" x14ac:dyDescent="0.3">
      <c r="A164" s="12">
        <v>46125</v>
      </c>
      <c r="B164" t="s">
        <v>14</v>
      </c>
      <c r="C164">
        <v>0</v>
      </c>
    </row>
    <row r="165" spans="1:3" x14ac:dyDescent="0.3">
      <c r="A165" s="12">
        <v>46126</v>
      </c>
      <c r="B165" t="s">
        <v>14</v>
      </c>
      <c r="C165">
        <v>0</v>
      </c>
    </row>
    <row r="166" spans="1:3" x14ac:dyDescent="0.3">
      <c r="A166" s="12">
        <v>46127</v>
      </c>
      <c r="B166" t="s">
        <v>14</v>
      </c>
      <c r="C166">
        <v>0</v>
      </c>
    </row>
    <row r="167" spans="1:3" x14ac:dyDescent="0.3">
      <c r="A167" s="12">
        <v>46128</v>
      </c>
      <c r="B167" t="s">
        <v>14</v>
      </c>
      <c r="C167">
        <v>0</v>
      </c>
    </row>
    <row r="168" spans="1:3" x14ac:dyDescent="0.3">
      <c r="A168" s="12">
        <v>46129</v>
      </c>
      <c r="B168" t="s">
        <v>14</v>
      </c>
      <c r="C168">
        <v>0</v>
      </c>
    </row>
    <row r="169" spans="1:3" x14ac:dyDescent="0.3">
      <c r="A169" s="12">
        <v>46130</v>
      </c>
      <c r="B169" t="s">
        <v>14</v>
      </c>
      <c r="C169">
        <v>0</v>
      </c>
    </row>
    <row r="170" spans="1:3" x14ac:dyDescent="0.3">
      <c r="A170" s="12">
        <v>46131</v>
      </c>
      <c r="B170" t="s">
        <v>14</v>
      </c>
      <c r="C170">
        <v>0</v>
      </c>
    </row>
    <row r="171" spans="1:3" x14ac:dyDescent="0.3">
      <c r="A171" s="12">
        <v>46132</v>
      </c>
      <c r="B171" t="s">
        <v>14</v>
      </c>
      <c r="C171">
        <v>0</v>
      </c>
    </row>
    <row r="172" spans="1:3" x14ac:dyDescent="0.3">
      <c r="A172" s="12">
        <v>46133</v>
      </c>
      <c r="B172" t="s">
        <v>14</v>
      </c>
      <c r="C172">
        <v>0</v>
      </c>
    </row>
    <row r="173" spans="1:3" x14ac:dyDescent="0.3">
      <c r="A173" s="12">
        <v>46134</v>
      </c>
      <c r="B173" t="s">
        <v>14</v>
      </c>
      <c r="C173">
        <v>0</v>
      </c>
    </row>
    <row r="174" spans="1:3" x14ac:dyDescent="0.3">
      <c r="A174" s="12">
        <v>46135</v>
      </c>
      <c r="B174" t="s">
        <v>14</v>
      </c>
      <c r="C174">
        <v>0</v>
      </c>
    </row>
    <row r="175" spans="1:3" x14ac:dyDescent="0.3">
      <c r="A175" s="12">
        <v>46136</v>
      </c>
      <c r="B175" t="s">
        <v>14</v>
      </c>
      <c r="C175">
        <v>0</v>
      </c>
    </row>
    <row r="176" spans="1:3" x14ac:dyDescent="0.3">
      <c r="A176" s="12">
        <v>46137</v>
      </c>
      <c r="B176" t="s">
        <v>14</v>
      </c>
      <c r="C176">
        <v>0</v>
      </c>
    </row>
    <row r="177" spans="1:3" x14ac:dyDescent="0.3">
      <c r="A177" s="12">
        <v>46138</v>
      </c>
      <c r="B177" t="s">
        <v>14</v>
      </c>
      <c r="C177">
        <v>0</v>
      </c>
    </row>
    <row r="178" spans="1:3" x14ac:dyDescent="0.3">
      <c r="A178" s="12">
        <v>46139</v>
      </c>
      <c r="B178" t="s">
        <v>14</v>
      </c>
      <c r="C178">
        <v>0</v>
      </c>
    </row>
    <row r="179" spans="1:3" x14ac:dyDescent="0.3">
      <c r="A179" s="12">
        <v>46140</v>
      </c>
      <c r="B179" t="s">
        <v>14</v>
      </c>
      <c r="C179">
        <v>0</v>
      </c>
    </row>
    <row r="180" spans="1:3" x14ac:dyDescent="0.3">
      <c r="A180" s="12">
        <v>46141</v>
      </c>
      <c r="B180" t="s">
        <v>14</v>
      </c>
      <c r="C180">
        <v>0</v>
      </c>
    </row>
    <row r="181" spans="1:3" x14ac:dyDescent="0.3">
      <c r="A181" s="12">
        <v>46142</v>
      </c>
      <c r="B181" t="s">
        <v>14</v>
      </c>
      <c r="C181">
        <v>0</v>
      </c>
    </row>
    <row r="182" spans="1:3" x14ac:dyDescent="0.3">
      <c r="A182" s="12">
        <v>46113</v>
      </c>
      <c r="B182" t="s">
        <v>16</v>
      </c>
      <c r="C182">
        <v>1</v>
      </c>
    </row>
    <row r="183" spans="1:3" x14ac:dyDescent="0.3">
      <c r="A183" s="12">
        <v>46114</v>
      </c>
      <c r="B183" t="s">
        <v>16</v>
      </c>
      <c r="C183">
        <v>1</v>
      </c>
    </row>
    <row r="184" spans="1:3" x14ac:dyDescent="0.3">
      <c r="A184" s="12">
        <v>46115</v>
      </c>
      <c r="B184" t="s">
        <v>16</v>
      </c>
      <c r="C184">
        <v>1</v>
      </c>
    </row>
    <row r="185" spans="1:3" x14ac:dyDescent="0.3">
      <c r="A185" s="12">
        <v>46116</v>
      </c>
      <c r="B185" t="s">
        <v>16</v>
      </c>
      <c r="C185">
        <v>0</v>
      </c>
    </row>
    <row r="186" spans="1:3" x14ac:dyDescent="0.3">
      <c r="A186" s="12">
        <v>46117</v>
      </c>
      <c r="B186" t="s">
        <v>16</v>
      </c>
      <c r="C186">
        <v>0</v>
      </c>
    </row>
    <row r="187" spans="1:3" x14ac:dyDescent="0.3">
      <c r="A187" s="12">
        <v>46118</v>
      </c>
      <c r="B187" t="s">
        <v>16</v>
      </c>
      <c r="C187">
        <v>0</v>
      </c>
    </row>
    <row r="188" spans="1:3" x14ac:dyDescent="0.3">
      <c r="A188" s="12">
        <v>46119</v>
      </c>
      <c r="B188" t="s">
        <v>16</v>
      </c>
      <c r="C188">
        <v>0</v>
      </c>
    </row>
    <row r="189" spans="1:3" x14ac:dyDescent="0.3">
      <c r="A189" s="12">
        <v>46120</v>
      </c>
      <c r="B189" t="s">
        <v>16</v>
      </c>
      <c r="C189">
        <v>0</v>
      </c>
    </row>
    <row r="190" spans="1:3" x14ac:dyDescent="0.3">
      <c r="A190" s="12">
        <v>46121</v>
      </c>
      <c r="B190" t="s">
        <v>16</v>
      </c>
      <c r="C190">
        <v>0</v>
      </c>
    </row>
    <row r="191" spans="1:3" x14ac:dyDescent="0.3">
      <c r="A191" s="12">
        <v>46122</v>
      </c>
      <c r="B191" t="s">
        <v>16</v>
      </c>
      <c r="C191">
        <v>0</v>
      </c>
    </row>
    <row r="192" spans="1:3" x14ac:dyDescent="0.3">
      <c r="A192" s="12">
        <v>46123</v>
      </c>
      <c r="B192" t="s">
        <v>16</v>
      </c>
      <c r="C192">
        <v>0</v>
      </c>
    </row>
    <row r="193" spans="1:3" x14ac:dyDescent="0.3">
      <c r="A193" s="12">
        <v>46124</v>
      </c>
      <c r="B193" t="s">
        <v>16</v>
      </c>
      <c r="C193">
        <v>0</v>
      </c>
    </row>
    <row r="194" spans="1:3" x14ac:dyDescent="0.3">
      <c r="A194" s="12">
        <v>46125</v>
      </c>
      <c r="B194" t="s">
        <v>16</v>
      </c>
      <c r="C194">
        <v>0</v>
      </c>
    </row>
    <row r="195" spans="1:3" x14ac:dyDescent="0.3">
      <c r="A195" s="12">
        <v>46126</v>
      </c>
      <c r="B195" t="s">
        <v>16</v>
      </c>
      <c r="C195">
        <v>0</v>
      </c>
    </row>
    <row r="196" spans="1:3" x14ac:dyDescent="0.3">
      <c r="A196" s="12">
        <v>46127</v>
      </c>
      <c r="B196" t="s">
        <v>16</v>
      </c>
      <c r="C196">
        <v>0</v>
      </c>
    </row>
    <row r="197" spans="1:3" x14ac:dyDescent="0.3">
      <c r="A197" s="12">
        <v>46128</v>
      </c>
      <c r="B197" t="s">
        <v>16</v>
      </c>
      <c r="C197">
        <v>0</v>
      </c>
    </row>
    <row r="198" spans="1:3" x14ac:dyDescent="0.3">
      <c r="A198" s="12">
        <v>46129</v>
      </c>
      <c r="B198" t="s">
        <v>16</v>
      </c>
      <c r="C198">
        <v>0</v>
      </c>
    </row>
    <row r="199" spans="1:3" x14ac:dyDescent="0.3">
      <c r="A199" s="12">
        <v>46130</v>
      </c>
      <c r="B199" t="s">
        <v>16</v>
      </c>
      <c r="C199">
        <v>0</v>
      </c>
    </row>
    <row r="200" spans="1:3" x14ac:dyDescent="0.3">
      <c r="A200" s="12">
        <v>46131</v>
      </c>
      <c r="B200" t="s">
        <v>16</v>
      </c>
      <c r="C200">
        <v>0</v>
      </c>
    </row>
    <row r="201" spans="1:3" x14ac:dyDescent="0.3">
      <c r="A201" s="12">
        <v>46132</v>
      </c>
      <c r="B201" t="s">
        <v>16</v>
      </c>
      <c r="C201">
        <v>0</v>
      </c>
    </row>
    <row r="202" spans="1:3" x14ac:dyDescent="0.3">
      <c r="A202" s="12">
        <v>46133</v>
      </c>
      <c r="B202" t="s">
        <v>16</v>
      </c>
      <c r="C202">
        <v>0</v>
      </c>
    </row>
    <row r="203" spans="1:3" x14ac:dyDescent="0.3">
      <c r="A203" s="12">
        <v>46134</v>
      </c>
      <c r="B203" t="s">
        <v>16</v>
      </c>
      <c r="C203">
        <v>0</v>
      </c>
    </row>
    <row r="204" spans="1:3" x14ac:dyDescent="0.3">
      <c r="A204" s="12">
        <v>46135</v>
      </c>
      <c r="B204" t="s">
        <v>16</v>
      </c>
      <c r="C204">
        <v>0</v>
      </c>
    </row>
    <row r="205" spans="1:3" x14ac:dyDescent="0.3">
      <c r="A205" s="12">
        <v>46136</v>
      </c>
      <c r="B205" t="s">
        <v>16</v>
      </c>
      <c r="C205">
        <v>0</v>
      </c>
    </row>
    <row r="206" spans="1:3" x14ac:dyDescent="0.3">
      <c r="A206" s="12">
        <v>46137</v>
      </c>
      <c r="B206" t="s">
        <v>16</v>
      </c>
      <c r="C206">
        <v>0</v>
      </c>
    </row>
    <row r="207" spans="1:3" x14ac:dyDescent="0.3">
      <c r="A207" s="12">
        <v>46138</v>
      </c>
      <c r="B207" t="s">
        <v>16</v>
      </c>
      <c r="C207">
        <v>0</v>
      </c>
    </row>
    <row r="208" spans="1:3" x14ac:dyDescent="0.3">
      <c r="A208" s="12">
        <v>46139</v>
      </c>
      <c r="B208" t="s">
        <v>16</v>
      </c>
      <c r="C208">
        <v>0</v>
      </c>
    </row>
    <row r="209" spans="1:3" x14ac:dyDescent="0.3">
      <c r="A209" s="12">
        <v>46140</v>
      </c>
      <c r="B209" t="s">
        <v>16</v>
      </c>
      <c r="C209">
        <v>0</v>
      </c>
    </row>
    <row r="210" spans="1:3" x14ac:dyDescent="0.3">
      <c r="A210" s="12">
        <v>46141</v>
      </c>
      <c r="B210" t="s">
        <v>16</v>
      </c>
      <c r="C210">
        <v>0</v>
      </c>
    </row>
    <row r="211" spans="1:3" x14ac:dyDescent="0.3">
      <c r="A211" s="12">
        <v>46142</v>
      </c>
      <c r="B211" t="s">
        <v>16</v>
      </c>
      <c r="C211">
        <v>0</v>
      </c>
    </row>
    <row r="212" spans="1:3" x14ac:dyDescent="0.3">
      <c r="A212" s="12">
        <v>46113</v>
      </c>
      <c r="B212" t="s">
        <v>31</v>
      </c>
      <c r="C212">
        <v>0</v>
      </c>
    </row>
    <row r="213" spans="1:3" x14ac:dyDescent="0.3">
      <c r="A213" s="12">
        <v>46114</v>
      </c>
      <c r="B213" t="s">
        <v>31</v>
      </c>
      <c r="C213">
        <v>0</v>
      </c>
    </row>
    <row r="214" spans="1:3" x14ac:dyDescent="0.3">
      <c r="A214" s="12">
        <v>46115</v>
      </c>
      <c r="B214" t="s">
        <v>31</v>
      </c>
      <c r="C214">
        <v>1</v>
      </c>
    </row>
    <row r="215" spans="1:3" x14ac:dyDescent="0.3">
      <c r="A215" s="12">
        <v>46116</v>
      </c>
      <c r="B215" t="s">
        <v>31</v>
      </c>
      <c r="C215">
        <v>1</v>
      </c>
    </row>
    <row r="216" spans="1:3" x14ac:dyDescent="0.3">
      <c r="A216" s="12">
        <v>46117</v>
      </c>
      <c r="B216" t="s">
        <v>31</v>
      </c>
      <c r="C216">
        <v>1</v>
      </c>
    </row>
    <row r="217" spans="1:3" x14ac:dyDescent="0.3">
      <c r="A217" s="12">
        <v>46118</v>
      </c>
      <c r="B217" t="s">
        <v>31</v>
      </c>
      <c r="C217">
        <v>0</v>
      </c>
    </row>
    <row r="218" spans="1:3" x14ac:dyDescent="0.3">
      <c r="A218" s="12">
        <v>46119</v>
      </c>
      <c r="B218" t="s">
        <v>31</v>
      </c>
      <c r="C218">
        <v>0</v>
      </c>
    </row>
    <row r="219" spans="1:3" x14ac:dyDescent="0.3">
      <c r="A219" s="12">
        <v>46120</v>
      </c>
      <c r="B219" t="s">
        <v>31</v>
      </c>
      <c r="C219">
        <v>0</v>
      </c>
    </row>
    <row r="220" spans="1:3" x14ac:dyDescent="0.3">
      <c r="A220" s="12">
        <v>46121</v>
      </c>
      <c r="B220" t="s">
        <v>31</v>
      </c>
      <c r="C220">
        <v>0</v>
      </c>
    </row>
    <row r="221" spans="1:3" x14ac:dyDescent="0.3">
      <c r="A221" s="12">
        <v>46122</v>
      </c>
      <c r="B221" t="s">
        <v>31</v>
      </c>
      <c r="C221">
        <v>0</v>
      </c>
    </row>
    <row r="222" spans="1:3" x14ac:dyDescent="0.3">
      <c r="A222" s="12">
        <v>46123</v>
      </c>
      <c r="B222" t="s">
        <v>31</v>
      </c>
      <c r="C222">
        <v>0</v>
      </c>
    </row>
    <row r="223" spans="1:3" x14ac:dyDescent="0.3">
      <c r="A223" s="12">
        <v>46124</v>
      </c>
      <c r="B223" t="s">
        <v>31</v>
      </c>
      <c r="C223">
        <v>0</v>
      </c>
    </row>
    <row r="224" spans="1:3" x14ac:dyDescent="0.3">
      <c r="A224" s="12">
        <v>46125</v>
      </c>
      <c r="B224" t="s">
        <v>31</v>
      </c>
      <c r="C224">
        <v>0</v>
      </c>
    </row>
    <row r="225" spans="1:3" x14ac:dyDescent="0.3">
      <c r="A225" s="12">
        <v>46126</v>
      </c>
      <c r="B225" t="s">
        <v>31</v>
      </c>
      <c r="C225">
        <v>0</v>
      </c>
    </row>
    <row r="226" spans="1:3" x14ac:dyDescent="0.3">
      <c r="A226" s="12">
        <v>46127</v>
      </c>
      <c r="B226" t="s">
        <v>31</v>
      </c>
      <c r="C226">
        <v>0</v>
      </c>
    </row>
    <row r="227" spans="1:3" x14ac:dyDescent="0.3">
      <c r="A227" s="12">
        <v>46128</v>
      </c>
      <c r="B227" t="s">
        <v>31</v>
      </c>
      <c r="C227">
        <v>0</v>
      </c>
    </row>
    <row r="228" spans="1:3" x14ac:dyDescent="0.3">
      <c r="A228" s="12">
        <v>46129</v>
      </c>
      <c r="B228" t="s">
        <v>31</v>
      </c>
      <c r="C228">
        <v>0</v>
      </c>
    </row>
    <row r="229" spans="1:3" x14ac:dyDescent="0.3">
      <c r="A229" s="12">
        <v>46130</v>
      </c>
      <c r="B229" t="s">
        <v>31</v>
      </c>
      <c r="C229">
        <v>0</v>
      </c>
    </row>
    <row r="230" spans="1:3" x14ac:dyDescent="0.3">
      <c r="A230" s="12">
        <v>46131</v>
      </c>
      <c r="B230" t="s">
        <v>31</v>
      </c>
      <c r="C230">
        <v>0</v>
      </c>
    </row>
    <row r="231" spans="1:3" x14ac:dyDescent="0.3">
      <c r="A231" s="12">
        <v>46132</v>
      </c>
      <c r="B231" t="s">
        <v>31</v>
      </c>
      <c r="C231">
        <v>0</v>
      </c>
    </row>
    <row r="232" spans="1:3" x14ac:dyDescent="0.3">
      <c r="A232" s="12">
        <v>46133</v>
      </c>
      <c r="B232" t="s">
        <v>31</v>
      </c>
      <c r="C232">
        <v>0</v>
      </c>
    </row>
    <row r="233" spans="1:3" x14ac:dyDescent="0.3">
      <c r="A233" s="12">
        <v>46134</v>
      </c>
      <c r="B233" t="s">
        <v>31</v>
      </c>
      <c r="C233">
        <v>0</v>
      </c>
    </row>
    <row r="234" spans="1:3" x14ac:dyDescent="0.3">
      <c r="A234" s="12">
        <v>46135</v>
      </c>
      <c r="B234" t="s">
        <v>31</v>
      </c>
      <c r="C234">
        <v>0</v>
      </c>
    </row>
    <row r="235" spans="1:3" x14ac:dyDescent="0.3">
      <c r="A235" s="12">
        <v>46136</v>
      </c>
      <c r="B235" t="s">
        <v>31</v>
      </c>
      <c r="C235">
        <v>0</v>
      </c>
    </row>
    <row r="236" spans="1:3" x14ac:dyDescent="0.3">
      <c r="A236" s="12">
        <v>46137</v>
      </c>
      <c r="B236" t="s">
        <v>31</v>
      </c>
      <c r="C236">
        <v>0</v>
      </c>
    </row>
    <row r="237" spans="1:3" x14ac:dyDescent="0.3">
      <c r="A237" s="12">
        <v>46138</v>
      </c>
      <c r="B237" t="s">
        <v>31</v>
      </c>
      <c r="C237">
        <v>0</v>
      </c>
    </row>
    <row r="238" spans="1:3" x14ac:dyDescent="0.3">
      <c r="A238" s="12">
        <v>46139</v>
      </c>
      <c r="B238" t="s">
        <v>31</v>
      </c>
      <c r="C238">
        <v>0</v>
      </c>
    </row>
    <row r="239" spans="1:3" x14ac:dyDescent="0.3">
      <c r="A239" s="12">
        <v>46140</v>
      </c>
      <c r="B239" t="s">
        <v>31</v>
      </c>
      <c r="C239">
        <v>0</v>
      </c>
    </row>
    <row r="240" spans="1:3" x14ac:dyDescent="0.3">
      <c r="A240" s="12">
        <v>46141</v>
      </c>
      <c r="B240" t="s">
        <v>31</v>
      </c>
      <c r="C240">
        <v>0</v>
      </c>
    </row>
    <row r="241" spans="1:3" x14ac:dyDescent="0.3">
      <c r="A241" s="12">
        <v>46142</v>
      </c>
      <c r="B241" t="s">
        <v>31</v>
      </c>
      <c r="C241">
        <v>0</v>
      </c>
    </row>
    <row r="242" spans="1:3" x14ac:dyDescent="0.3">
      <c r="A242" s="12">
        <v>46113</v>
      </c>
      <c r="B242" t="s">
        <v>32</v>
      </c>
      <c r="C242">
        <v>1</v>
      </c>
    </row>
    <row r="243" spans="1:3" x14ac:dyDescent="0.3">
      <c r="A243" s="12">
        <v>46114</v>
      </c>
      <c r="B243" t="s">
        <v>32</v>
      </c>
      <c r="C243">
        <v>1</v>
      </c>
    </row>
    <row r="244" spans="1:3" x14ac:dyDescent="0.3">
      <c r="A244" s="12">
        <v>46115</v>
      </c>
      <c r="B244" t="s">
        <v>32</v>
      </c>
      <c r="C244">
        <v>0</v>
      </c>
    </row>
    <row r="245" spans="1:3" x14ac:dyDescent="0.3">
      <c r="A245" s="12">
        <v>46116</v>
      </c>
      <c r="B245" t="s">
        <v>32</v>
      </c>
      <c r="C245">
        <v>1</v>
      </c>
    </row>
    <row r="246" spans="1:3" x14ac:dyDescent="0.3">
      <c r="A246" s="12">
        <v>46117</v>
      </c>
      <c r="B246" t="s">
        <v>32</v>
      </c>
      <c r="C246">
        <v>1</v>
      </c>
    </row>
    <row r="247" spans="1:3" x14ac:dyDescent="0.3">
      <c r="A247" s="12">
        <v>46118</v>
      </c>
      <c r="B247" t="s">
        <v>32</v>
      </c>
      <c r="C247">
        <v>0</v>
      </c>
    </row>
    <row r="248" spans="1:3" x14ac:dyDescent="0.3">
      <c r="A248" s="12">
        <v>46119</v>
      </c>
      <c r="B248" t="s">
        <v>32</v>
      </c>
      <c r="C248">
        <v>0</v>
      </c>
    </row>
    <row r="249" spans="1:3" x14ac:dyDescent="0.3">
      <c r="A249" s="12">
        <v>46120</v>
      </c>
      <c r="B249" t="s">
        <v>32</v>
      </c>
      <c r="C249">
        <v>0</v>
      </c>
    </row>
    <row r="250" spans="1:3" x14ac:dyDescent="0.3">
      <c r="A250" s="12">
        <v>46121</v>
      </c>
      <c r="B250" t="s">
        <v>32</v>
      </c>
      <c r="C250">
        <v>0</v>
      </c>
    </row>
    <row r="251" spans="1:3" x14ac:dyDescent="0.3">
      <c r="A251" s="12">
        <v>46122</v>
      </c>
      <c r="B251" t="s">
        <v>32</v>
      </c>
      <c r="C251">
        <v>0</v>
      </c>
    </row>
    <row r="252" spans="1:3" x14ac:dyDescent="0.3">
      <c r="A252" s="12">
        <v>46123</v>
      </c>
      <c r="B252" t="s">
        <v>32</v>
      </c>
      <c r="C252">
        <v>0</v>
      </c>
    </row>
    <row r="253" spans="1:3" x14ac:dyDescent="0.3">
      <c r="A253" s="12">
        <v>46124</v>
      </c>
      <c r="B253" t="s">
        <v>32</v>
      </c>
      <c r="C253">
        <v>0</v>
      </c>
    </row>
    <row r="254" spans="1:3" x14ac:dyDescent="0.3">
      <c r="A254" s="12">
        <v>46125</v>
      </c>
      <c r="B254" t="s">
        <v>32</v>
      </c>
      <c r="C254">
        <v>0</v>
      </c>
    </row>
    <row r="255" spans="1:3" x14ac:dyDescent="0.3">
      <c r="A255" s="12">
        <v>46126</v>
      </c>
      <c r="B255" t="s">
        <v>32</v>
      </c>
      <c r="C255">
        <v>0</v>
      </c>
    </row>
    <row r="256" spans="1:3" x14ac:dyDescent="0.3">
      <c r="A256" s="12">
        <v>46127</v>
      </c>
      <c r="B256" t="s">
        <v>32</v>
      </c>
      <c r="C256">
        <v>0</v>
      </c>
    </row>
    <row r="257" spans="1:3" x14ac:dyDescent="0.3">
      <c r="A257" s="12">
        <v>46128</v>
      </c>
      <c r="B257" t="s">
        <v>32</v>
      </c>
      <c r="C257">
        <v>0</v>
      </c>
    </row>
    <row r="258" spans="1:3" x14ac:dyDescent="0.3">
      <c r="A258" s="12">
        <v>46129</v>
      </c>
      <c r="B258" t="s">
        <v>32</v>
      </c>
      <c r="C258">
        <v>0</v>
      </c>
    </row>
    <row r="259" spans="1:3" x14ac:dyDescent="0.3">
      <c r="A259" s="12">
        <v>46130</v>
      </c>
      <c r="B259" t="s">
        <v>32</v>
      </c>
      <c r="C259">
        <v>0</v>
      </c>
    </row>
    <row r="260" spans="1:3" x14ac:dyDescent="0.3">
      <c r="A260" s="12">
        <v>46131</v>
      </c>
      <c r="B260" t="s">
        <v>32</v>
      </c>
      <c r="C260">
        <v>0</v>
      </c>
    </row>
    <row r="261" spans="1:3" x14ac:dyDescent="0.3">
      <c r="A261" s="12">
        <v>46132</v>
      </c>
      <c r="B261" t="s">
        <v>32</v>
      </c>
      <c r="C261">
        <v>0</v>
      </c>
    </row>
    <row r="262" spans="1:3" x14ac:dyDescent="0.3">
      <c r="A262" s="12">
        <v>46133</v>
      </c>
      <c r="B262" t="s">
        <v>32</v>
      </c>
      <c r="C262">
        <v>0</v>
      </c>
    </row>
    <row r="263" spans="1:3" x14ac:dyDescent="0.3">
      <c r="A263" s="12">
        <v>46134</v>
      </c>
      <c r="B263" t="s">
        <v>32</v>
      </c>
      <c r="C263">
        <v>0</v>
      </c>
    </row>
    <row r="264" spans="1:3" x14ac:dyDescent="0.3">
      <c r="A264" s="12">
        <v>46135</v>
      </c>
      <c r="B264" t="s">
        <v>32</v>
      </c>
      <c r="C264">
        <v>0</v>
      </c>
    </row>
    <row r="265" spans="1:3" x14ac:dyDescent="0.3">
      <c r="A265" s="12">
        <v>46136</v>
      </c>
      <c r="B265" t="s">
        <v>32</v>
      </c>
      <c r="C265">
        <v>0</v>
      </c>
    </row>
    <row r="266" spans="1:3" x14ac:dyDescent="0.3">
      <c r="A266" s="12">
        <v>46137</v>
      </c>
      <c r="B266" t="s">
        <v>32</v>
      </c>
      <c r="C266">
        <v>0</v>
      </c>
    </row>
    <row r="267" spans="1:3" x14ac:dyDescent="0.3">
      <c r="A267" s="12">
        <v>46138</v>
      </c>
      <c r="B267" t="s">
        <v>32</v>
      </c>
      <c r="C267">
        <v>0</v>
      </c>
    </row>
    <row r="268" spans="1:3" x14ac:dyDescent="0.3">
      <c r="A268" s="12">
        <v>46139</v>
      </c>
      <c r="B268" t="s">
        <v>32</v>
      </c>
      <c r="C268">
        <v>0</v>
      </c>
    </row>
    <row r="269" spans="1:3" x14ac:dyDescent="0.3">
      <c r="A269" s="12">
        <v>46140</v>
      </c>
      <c r="B269" t="s">
        <v>32</v>
      </c>
      <c r="C269">
        <v>0</v>
      </c>
    </row>
    <row r="270" spans="1:3" x14ac:dyDescent="0.3">
      <c r="A270" s="12">
        <v>46141</v>
      </c>
      <c r="B270" t="s">
        <v>32</v>
      </c>
      <c r="C270">
        <v>0</v>
      </c>
    </row>
    <row r="271" spans="1:3" x14ac:dyDescent="0.3">
      <c r="A271" s="12">
        <v>46142</v>
      </c>
      <c r="B271" t="s">
        <v>32</v>
      </c>
      <c r="C271">
        <v>0</v>
      </c>
    </row>
    <row r="272" spans="1:3" x14ac:dyDescent="0.3">
      <c r="A272" s="12">
        <v>46113</v>
      </c>
      <c r="B272" t="s">
        <v>22</v>
      </c>
      <c r="C272">
        <v>0</v>
      </c>
    </row>
    <row r="273" spans="1:3" x14ac:dyDescent="0.3">
      <c r="A273" s="12">
        <v>46114</v>
      </c>
      <c r="B273" t="s">
        <v>22</v>
      </c>
      <c r="C273">
        <v>0</v>
      </c>
    </row>
    <row r="274" spans="1:3" x14ac:dyDescent="0.3">
      <c r="A274" s="12">
        <v>46115</v>
      </c>
      <c r="B274" t="s">
        <v>22</v>
      </c>
      <c r="C274">
        <v>1</v>
      </c>
    </row>
    <row r="275" spans="1:3" x14ac:dyDescent="0.3">
      <c r="A275" s="12">
        <v>46116</v>
      </c>
      <c r="B275" t="s">
        <v>22</v>
      </c>
      <c r="C275">
        <v>1</v>
      </c>
    </row>
    <row r="276" spans="1:3" x14ac:dyDescent="0.3">
      <c r="A276" s="12">
        <v>46117</v>
      </c>
      <c r="B276" t="s">
        <v>22</v>
      </c>
      <c r="C276">
        <v>1</v>
      </c>
    </row>
    <row r="277" spans="1:3" x14ac:dyDescent="0.3">
      <c r="A277" s="12">
        <v>46118</v>
      </c>
      <c r="B277" t="s">
        <v>22</v>
      </c>
      <c r="C277">
        <v>0</v>
      </c>
    </row>
    <row r="278" spans="1:3" x14ac:dyDescent="0.3">
      <c r="A278" s="12">
        <v>46119</v>
      </c>
      <c r="B278" t="s">
        <v>22</v>
      </c>
      <c r="C278">
        <v>0</v>
      </c>
    </row>
    <row r="279" spans="1:3" x14ac:dyDescent="0.3">
      <c r="A279" s="12">
        <v>46120</v>
      </c>
      <c r="B279" t="s">
        <v>22</v>
      </c>
      <c r="C279">
        <v>0</v>
      </c>
    </row>
    <row r="280" spans="1:3" x14ac:dyDescent="0.3">
      <c r="A280" s="12">
        <v>46121</v>
      </c>
      <c r="B280" t="s">
        <v>22</v>
      </c>
      <c r="C280">
        <v>0</v>
      </c>
    </row>
    <row r="281" spans="1:3" x14ac:dyDescent="0.3">
      <c r="A281" s="12">
        <v>46122</v>
      </c>
      <c r="B281" t="s">
        <v>22</v>
      </c>
      <c r="C281">
        <v>0</v>
      </c>
    </row>
    <row r="282" spans="1:3" x14ac:dyDescent="0.3">
      <c r="A282" s="12">
        <v>46123</v>
      </c>
      <c r="B282" t="s">
        <v>22</v>
      </c>
      <c r="C282">
        <v>0</v>
      </c>
    </row>
    <row r="283" spans="1:3" x14ac:dyDescent="0.3">
      <c r="A283" s="12">
        <v>46124</v>
      </c>
      <c r="B283" t="s">
        <v>22</v>
      </c>
      <c r="C283">
        <v>0</v>
      </c>
    </row>
    <row r="284" spans="1:3" x14ac:dyDescent="0.3">
      <c r="A284" s="12">
        <v>46125</v>
      </c>
      <c r="B284" t="s">
        <v>22</v>
      </c>
      <c r="C284">
        <v>0</v>
      </c>
    </row>
    <row r="285" spans="1:3" x14ac:dyDescent="0.3">
      <c r="A285" s="12">
        <v>46126</v>
      </c>
      <c r="B285" t="s">
        <v>22</v>
      </c>
      <c r="C285">
        <v>0</v>
      </c>
    </row>
    <row r="286" spans="1:3" x14ac:dyDescent="0.3">
      <c r="A286" s="12">
        <v>46127</v>
      </c>
      <c r="B286" t="s">
        <v>22</v>
      </c>
      <c r="C286">
        <v>0</v>
      </c>
    </row>
    <row r="287" spans="1:3" x14ac:dyDescent="0.3">
      <c r="A287" s="12">
        <v>46128</v>
      </c>
      <c r="B287" t="s">
        <v>22</v>
      </c>
      <c r="C287">
        <v>0</v>
      </c>
    </row>
    <row r="288" spans="1:3" x14ac:dyDescent="0.3">
      <c r="A288" s="12">
        <v>46129</v>
      </c>
      <c r="B288" t="s">
        <v>22</v>
      </c>
      <c r="C288">
        <v>0</v>
      </c>
    </row>
    <row r="289" spans="1:3" x14ac:dyDescent="0.3">
      <c r="A289" s="12">
        <v>46130</v>
      </c>
      <c r="B289" t="s">
        <v>22</v>
      </c>
      <c r="C289">
        <v>0</v>
      </c>
    </row>
    <row r="290" spans="1:3" x14ac:dyDescent="0.3">
      <c r="A290" s="12">
        <v>46131</v>
      </c>
      <c r="B290" t="s">
        <v>22</v>
      </c>
      <c r="C290">
        <v>0</v>
      </c>
    </row>
    <row r="291" spans="1:3" x14ac:dyDescent="0.3">
      <c r="A291" s="12">
        <v>46132</v>
      </c>
      <c r="B291" t="s">
        <v>22</v>
      </c>
      <c r="C291">
        <v>0</v>
      </c>
    </row>
    <row r="292" spans="1:3" x14ac:dyDescent="0.3">
      <c r="A292" s="12">
        <v>46133</v>
      </c>
      <c r="B292" t="s">
        <v>22</v>
      </c>
      <c r="C292">
        <v>0</v>
      </c>
    </row>
    <row r="293" spans="1:3" x14ac:dyDescent="0.3">
      <c r="A293" s="12">
        <v>46134</v>
      </c>
      <c r="B293" t="s">
        <v>22</v>
      </c>
      <c r="C293">
        <v>0</v>
      </c>
    </row>
    <row r="294" spans="1:3" x14ac:dyDescent="0.3">
      <c r="A294" s="12">
        <v>46135</v>
      </c>
      <c r="B294" t="s">
        <v>22</v>
      </c>
      <c r="C294">
        <v>0</v>
      </c>
    </row>
    <row r="295" spans="1:3" x14ac:dyDescent="0.3">
      <c r="A295" s="12">
        <v>46136</v>
      </c>
      <c r="B295" t="s">
        <v>22</v>
      </c>
      <c r="C295">
        <v>0</v>
      </c>
    </row>
    <row r="296" spans="1:3" x14ac:dyDescent="0.3">
      <c r="A296" s="12">
        <v>46137</v>
      </c>
      <c r="B296" t="s">
        <v>22</v>
      </c>
      <c r="C296">
        <v>0</v>
      </c>
    </row>
    <row r="297" spans="1:3" x14ac:dyDescent="0.3">
      <c r="A297" s="12">
        <v>46138</v>
      </c>
      <c r="B297" t="s">
        <v>22</v>
      </c>
      <c r="C297">
        <v>0</v>
      </c>
    </row>
    <row r="298" spans="1:3" x14ac:dyDescent="0.3">
      <c r="A298" s="12">
        <v>46139</v>
      </c>
      <c r="B298" t="s">
        <v>22</v>
      </c>
      <c r="C298">
        <v>0</v>
      </c>
    </row>
    <row r="299" spans="1:3" x14ac:dyDescent="0.3">
      <c r="A299" s="12">
        <v>46140</v>
      </c>
      <c r="B299" t="s">
        <v>22</v>
      </c>
      <c r="C299">
        <v>0</v>
      </c>
    </row>
    <row r="300" spans="1:3" x14ac:dyDescent="0.3">
      <c r="A300" s="12">
        <v>46141</v>
      </c>
      <c r="B300" t="s">
        <v>22</v>
      </c>
      <c r="C300">
        <v>0</v>
      </c>
    </row>
    <row r="301" spans="1:3" x14ac:dyDescent="0.3">
      <c r="A301" s="12">
        <v>46142</v>
      </c>
      <c r="B301" t="s">
        <v>22</v>
      </c>
      <c r="C301">
        <v>0</v>
      </c>
    </row>
    <row r="302" spans="1:3" x14ac:dyDescent="0.3">
      <c r="A302" s="12">
        <v>46113</v>
      </c>
      <c r="B302" t="s">
        <v>24</v>
      </c>
      <c r="C302">
        <v>1</v>
      </c>
    </row>
    <row r="303" spans="1:3" x14ac:dyDescent="0.3">
      <c r="A303" s="12">
        <v>46114</v>
      </c>
      <c r="B303" t="s">
        <v>24</v>
      </c>
      <c r="C303">
        <v>1</v>
      </c>
    </row>
    <row r="304" spans="1:3" x14ac:dyDescent="0.3">
      <c r="A304" s="12">
        <v>46115</v>
      </c>
      <c r="B304" t="s">
        <v>24</v>
      </c>
      <c r="C304">
        <v>1</v>
      </c>
    </row>
    <row r="305" spans="1:3" x14ac:dyDescent="0.3">
      <c r="A305" s="12">
        <v>46116</v>
      </c>
      <c r="B305" t="s">
        <v>24</v>
      </c>
      <c r="C305">
        <v>0</v>
      </c>
    </row>
    <row r="306" spans="1:3" x14ac:dyDescent="0.3">
      <c r="A306" s="12">
        <v>46117</v>
      </c>
      <c r="B306" t="s">
        <v>24</v>
      </c>
      <c r="C306">
        <v>1</v>
      </c>
    </row>
    <row r="307" spans="1:3" x14ac:dyDescent="0.3">
      <c r="A307" s="12">
        <v>46118</v>
      </c>
      <c r="B307" t="s">
        <v>24</v>
      </c>
      <c r="C307">
        <v>0</v>
      </c>
    </row>
    <row r="308" spans="1:3" x14ac:dyDescent="0.3">
      <c r="A308" s="12">
        <v>46119</v>
      </c>
      <c r="B308" t="s">
        <v>24</v>
      </c>
      <c r="C308">
        <v>0</v>
      </c>
    </row>
    <row r="309" spans="1:3" x14ac:dyDescent="0.3">
      <c r="A309" s="12">
        <v>46120</v>
      </c>
      <c r="B309" t="s">
        <v>24</v>
      </c>
      <c r="C309">
        <v>0</v>
      </c>
    </row>
    <row r="310" spans="1:3" x14ac:dyDescent="0.3">
      <c r="A310" s="12">
        <v>46121</v>
      </c>
      <c r="B310" t="s">
        <v>24</v>
      </c>
      <c r="C310">
        <v>0</v>
      </c>
    </row>
    <row r="311" spans="1:3" x14ac:dyDescent="0.3">
      <c r="A311" s="12">
        <v>46122</v>
      </c>
      <c r="B311" t="s">
        <v>24</v>
      </c>
      <c r="C311">
        <v>0</v>
      </c>
    </row>
    <row r="312" spans="1:3" x14ac:dyDescent="0.3">
      <c r="A312" s="12">
        <v>46123</v>
      </c>
      <c r="B312" t="s">
        <v>24</v>
      </c>
      <c r="C312">
        <v>0</v>
      </c>
    </row>
    <row r="313" spans="1:3" x14ac:dyDescent="0.3">
      <c r="A313" s="12">
        <v>46124</v>
      </c>
      <c r="B313" t="s">
        <v>24</v>
      </c>
      <c r="C313">
        <v>0</v>
      </c>
    </row>
    <row r="314" spans="1:3" x14ac:dyDescent="0.3">
      <c r="A314" s="12">
        <v>46125</v>
      </c>
      <c r="B314" t="s">
        <v>24</v>
      </c>
      <c r="C314">
        <v>0</v>
      </c>
    </row>
    <row r="315" spans="1:3" x14ac:dyDescent="0.3">
      <c r="A315" s="12">
        <v>46126</v>
      </c>
      <c r="B315" t="s">
        <v>24</v>
      </c>
      <c r="C315">
        <v>0</v>
      </c>
    </row>
    <row r="316" spans="1:3" x14ac:dyDescent="0.3">
      <c r="A316" s="12">
        <v>46127</v>
      </c>
      <c r="B316" t="s">
        <v>24</v>
      </c>
      <c r="C316">
        <v>0</v>
      </c>
    </row>
    <row r="317" spans="1:3" x14ac:dyDescent="0.3">
      <c r="A317" s="12">
        <v>46128</v>
      </c>
      <c r="B317" t="s">
        <v>24</v>
      </c>
      <c r="C317">
        <v>0</v>
      </c>
    </row>
    <row r="318" spans="1:3" x14ac:dyDescent="0.3">
      <c r="A318" s="12">
        <v>46129</v>
      </c>
      <c r="B318" t="s">
        <v>24</v>
      </c>
      <c r="C318">
        <v>0</v>
      </c>
    </row>
    <row r="319" spans="1:3" x14ac:dyDescent="0.3">
      <c r="A319" s="12">
        <v>46130</v>
      </c>
      <c r="B319" t="s">
        <v>24</v>
      </c>
      <c r="C319">
        <v>0</v>
      </c>
    </row>
    <row r="320" spans="1:3" x14ac:dyDescent="0.3">
      <c r="A320" s="12">
        <v>46131</v>
      </c>
      <c r="B320" t="s">
        <v>24</v>
      </c>
      <c r="C320">
        <v>0</v>
      </c>
    </row>
    <row r="321" spans="1:3" x14ac:dyDescent="0.3">
      <c r="A321" s="12">
        <v>46132</v>
      </c>
      <c r="B321" t="s">
        <v>24</v>
      </c>
      <c r="C321">
        <v>0</v>
      </c>
    </row>
    <row r="322" spans="1:3" x14ac:dyDescent="0.3">
      <c r="A322" s="12">
        <v>46133</v>
      </c>
      <c r="B322" t="s">
        <v>24</v>
      </c>
      <c r="C322">
        <v>0</v>
      </c>
    </row>
    <row r="323" spans="1:3" x14ac:dyDescent="0.3">
      <c r="A323" s="12">
        <v>46134</v>
      </c>
      <c r="B323" t="s">
        <v>24</v>
      </c>
      <c r="C323">
        <v>0</v>
      </c>
    </row>
    <row r="324" spans="1:3" x14ac:dyDescent="0.3">
      <c r="A324" s="12">
        <v>46135</v>
      </c>
      <c r="B324" t="s">
        <v>24</v>
      </c>
      <c r="C324">
        <v>0</v>
      </c>
    </row>
    <row r="325" spans="1:3" x14ac:dyDescent="0.3">
      <c r="A325" s="12">
        <v>46136</v>
      </c>
      <c r="B325" t="s">
        <v>24</v>
      </c>
      <c r="C325">
        <v>0</v>
      </c>
    </row>
    <row r="326" spans="1:3" x14ac:dyDescent="0.3">
      <c r="A326" s="12">
        <v>46137</v>
      </c>
      <c r="B326" t="s">
        <v>24</v>
      </c>
      <c r="C326">
        <v>0</v>
      </c>
    </row>
    <row r="327" spans="1:3" x14ac:dyDescent="0.3">
      <c r="A327" s="12">
        <v>46138</v>
      </c>
      <c r="B327" t="s">
        <v>24</v>
      </c>
      <c r="C327">
        <v>0</v>
      </c>
    </row>
    <row r="328" spans="1:3" x14ac:dyDescent="0.3">
      <c r="A328" s="12">
        <v>46139</v>
      </c>
      <c r="B328" t="s">
        <v>24</v>
      </c>
      <c r="C328">
        <v>0</v>
      </c>
    </row>
    <row r="329" spans="1:3" x14ac:dyDescent="0.3">
      <c r="A329" s="12">
        <v>46140</v>
      </c>
      <c r="B329" t="s">
        <v>24</v>
      </c>
      <c r="C329">
        <v>0</v>
      </c>
    </row>
    <row r="330" spans="1:3" x14ac:dyDescent="0.3">
      <c r="A330" s="12">
        <v>46141</v>
      </c>
      <c r="B330" t="s">
        <v>24</v>
      </c>
      <c r="C330">
        <v>0</v>
      </c>
    </row>
    <row r="331" spans="1:3" x14ac:dyDescent="0.3">
      <c r="A331" s="12">
        <v>46142</v>
      </c>
      <c r="B331" t="s">
        <v>24</v>
      </c>
      <c r="C331">
        <v>0</v>
      </c>
    </row>
    <row r="332" spans="1:3" x14ac:dyDescent="0.3">
      <c r="A332" s="12">
        <v>46113</v>
      </c>
      <c r="B332" t="s">
        <v>25</v>
      </c>
      <c r="C332">
        <v>1</v>
      </c>
    </row>
    <row r="333" spans="1:3" x14ac:dyDescent="0.3">
      <c r="A333" s="12">
        <v>46114</v>
      </c>
      <c r="B333" t="s">
        <v>25</v>
      </c>
      <c r="C333">
        <v>0</v>
      </c>
    </row>
    <row r="334" spans="1:3" x14ac:dyDescent="0.3">
      <c r="A334" s="12">
        <v>46115</v>
      </c>
      <c r="B334" t="s">
        <v>25</v>
      </c>
      <c r="C334">
        <v>0</v>
      </c>
    </row>
    <row r="335" spans="1:3" x14ac:dyDescent="0.3">
      <c r="A335" s="12">
        <v>46116</v>
      </c>
      <c r="B335" t="s">
        <v>25</v>
      </c>
      <c r="C335">
        <v>1</v>
      </c>
    </row>
    <row r="336" spans="1:3" x14ac:dyDescent="0.3">
      <c r="A336" s="12">
        <v>46117</v>
      </c>
      <c r="B336" t="s">
        <v>25</v>
      </c>
      <c r="C336">
        <v>0</v>
      </c>
    </row>
    <row r="337" spans="1:3" x14ac:dyDescent="0.3">
      <c r="A337" s="12">
        <v>46118</v>
      </c>
      <c r="B337" t="s">
        <v>25</v>
      </c>
      <c r="C337">
        <v>0</v>
      </c>
    </row>
    <row r="338" spans="1:3" x14ac:dyDescent="0.3">
      <c r="A338" s="12">
        <v>46119</v>
      </c>
      <c r="B338" t="s">
        <v>25</v>
      </c>
      <c r="C338">
        <v>0</v>
      </c>
    </row>
    <row r="339" spans="1:3" x14ac:dyDescent="0.3">
      <c r="A339" s="12">
        <v>46120</v>
      </c>
      <c r="B339" t="s">
        <v>25</v>
      </c>
      <c r="C339">
        <v>0</v>
      </c>
    </row>
    <row r="340" spans="1:3" x14ac:dyDescent="0.3">
      <c r="A340" s="12">
        <v>46121</v>
      </c>
      <c r="B340" t="s">
        <v>25</v>
      </c>
      <c r="C340">
        <v>0</v>
      </c>
    </row>
    <row r="341" spans="1:3" x14ac:dyDescent="0.3">
      <c r="A341" s="12">
        <v>46122</v>
      </c>
      <c r="B341" t="s">
        <v>25</v>
      </c>
      <c r="C341">
        <v>0</v>
      </c>
    </row>
    <row r="342" spans="1:3" x14ac:dyDescent="0.3">
      <c r="A342" s="12">
        <v>46123</v>
      </c>
      <c r="B342" t="s">
        <v>25</v>
      </c>
      <c r="C342">
        <v>0</v>
      </c>
    </row>
    <row r="343" spans="1:3" x14ac:dyDescent="0.3">
      <c r="A343" s="12">
        <v>46124</v>
      </c>
      <c r="B343" t="s">
        <v>25</v>
      </c>
      <c r="C343">
        <v>0</v>
      </c>
    </row>
    <row r="344" spans="1:3" x14ac:dyDescent="0.3">
      <c r="A344" s="12">
        <v>46125</v>
      </c>
      <c r="B344" t="s">
        <v>25</v>
      </c>
      <c r="C344">
        <v>0</v>
      </c>
    </row>
    <row r="345" spans="1:3" x14ac:dyDescent="0.3">
      <c r="A345" s="12">
        <v>46126</v>
      </c>
      <c r="B345" t="s">
        <v>25</v>
      </c>
      <c r="C345">
        <v>0</v>
      </c>
    </row>
    <row r="346" spans="1:3" x14ac:dyDescent="0.3">
      <c r="A346" s="12">
        <v>46127</v>
      </c>
      <c r="B346" t="s">
        <v>25</v>
      </c>
      <c r="C346">
        <v>0</v>
      </c>
    </row>
    <row r="347" spans="1:3" x14ac:dyDescent="0.3">
      <c r="A347" s="12">
        <v>46128</v>
      </c>
      <c r="B347" t="s">
        <v>25</v>
      </c>
      <c r="C347">
        <v>0</v>
      </c>
    </row>
    <row r="348" spans="1:3" x14ac:dyDescent="0.3">
      <c r="A348" s="12">
        <v>46129</v>
      </c>
      <c r="B348" t="s">
        <v>25</v>
      </c>
      <c r="C348">
        <v>0</v>
      </c>
    </row>
    <row r="349" spans="1:3" x14ac:dyDescent="0.3">
      <c r="A349" s="12">
        <v>46130</v>
      </c>
      <c r="B349" t="s">
        <v>25</v>
      </c>
      <c r="C349">
        <v>0</v>
      </c>
    </row>
    <row r="350" spans="1:3" x14ac:dyDescent="0.3">
      <c r="A350" s="12">
        <v>46131</v>
      </c>
      <c r="B350" t="s">
        <v>25</v>
      </c>
      <c r="C350">
        <v>0</v>
      </c>
    </row>
    <row r="351" spans="1:3" x14ac:dyDescent="0.3">
      <c r="A351" s="12">
        <v>46132</v>
      </c>
      <c r="B351" t="s">
        <v>25</v>
      </c>
      <c r="C351">
        <v>0</v>
      </c>
    </row>
    <row r="352" spans="1:3" x14ac:dyDescent="0.3">
      <c r="A352" s="12">
        <v>46133</v>
      </c>
      <c r="B352" t="s">
        <v>25</v>
      </c>
      <c r="C352">
        <v>0</v>
      </c>
    </row>
    <row r="353" spans="1:3" x14ac:dyDescent="0.3">
      <c r="A353" s="12">
        <v>46134</v>
      </c>
      <c r="B353" t="s">
        <v>25</v>
      </c>
      <c r="C353">
        <v>0</v>
      </c>
    </row>
    <row r="354" spans="1:3" x14ac:dyDescent="0.3">
      <c r="A354" s="12">
        <v>46135</v>
      </c>
      <c r="B354" t="s">
        <v>25</v>
      </c>
      <c r="C354">
        <v>0</v>
      </c>
    </row>
    <row r="355" spans="1:3" x14ac:dyDescent="0.3">
      <c r="A355" s="12">
        <v>46136</v>
      </c>
      <c r="B355" t="s">
        <v>25</v>
      </c>
      <c r="C355">
        <v>0</v>
      </c>
    </row>
    <row r="356" spans="1:3" x14ac:dyDescent="0.3">
      <c r="A356" s="12">
        <v>46137</v>
      </c>
      <c r="B356" t="s">
        <v>25</v>
      </c>
      <c r="C356">
        <v>0</v>
      </c>
    </row>
    <row r="357" spans="1:3" x14ac:dyDescent="0.3">
      <c r="A357" s="12">
        <v>46138</v>
      </c>
      <c r="B357" t="s">
        <v>25</v>
      </c>
      <c r="C357">
        <v>0</v>
      </c>
    </row>
    <row r="358" spans="1:3" x14ac:dyDescent="0.3">
      <c r="A358" s="12">
        <v>46139</v>
      </c>
      <c r="B358" t="s">
        <v>25</v>
      </c>
      <c r="C358">
        <v>0</v>
      </c>
    </row>
    <row r="359" spans="1:3" x14ac:dyDescent="0.3">
      <c r="A359" s="12">
        <v>46140</v>
      </c>
      <c r="B359" t="s">
        <v>25</v>
      </c>
      <c r="C359">
        <v>0</v>
      </c>
    </row>
    <row r="360" spans="1:3" x14ac:dyDescent="0.3">
      <c r="A360" s="12">
        <v>46141</v>
      </c>
      <c r="B360" t="s">
        <v>25</v>
      </c>
      <c r="C360">
        <v>0</v>
      </c>
    </row>
    <row r="361" spans="1:3" x14ac:dyDescent="0.3">
      <c r="A361" s="12">
        <v>46142</v>
      </c>
      <c r="B361" t="s">
        <v>25</v>
      </c>
      <c r="C361">
        <v>0</v>
      </c>
    </row>
    <row r="362" spans="1:3" x14ac:dyDescent="0.3">
      <c r="A362" s="12">
        <v>46113</v>
      </c>
      <c r="B362" t="s">
        <v>33</v>
      </c>
      <c r="C362">
        <v>1</v>
      </c>
    </row>
    <row r="363" spans="1:3" x14ac:dyDescent="0.3">
      <c r="A363" s="12">
        <v>46114</v>
      </c>
      <c r="B363" t="s">
        <v>33</v>
      </c>
      <c r="C363">
        <v>1</v>
      </c>
    </row>
    <row r="364" spans="1:3" x14ac:dyDescent="0.3">
      <c r="A364" s="12">
        <v>46115</v>
      </c>
      <c r="B364" t="s">
        <v>33</v>
      </c>
      <c r="C364">
        <v>1</v>
      </c>
    </row>
    <row r="365" spans="1:3" x14ac:dyDescent="0.3">
      <c r="A365" s="12">
        <v>46116</v>
      </c>
      <c r="B365" t="s">
        <v>33</v>
      </c>
      <c r="C365">
        <v>1</v>
      </c>
    </row>
    <row r="366" spans="1:3" x14ac:dyDescent="0.3">
      <c r="A366" s="12">
        <v>46117</v>
      </c>
      <c r="B366" t="s">
        <v>33</v>
      </c>
      <c r="C366">
        <v>1</v>
      </c>
    </row>
    <row r="367" spans="1:3" x14ac:dyDescent="0.3">
      <c r="A367" s="12">
        <v>46118</v>
      </c>
      <c r="B367" t="s">
        <v>33</v>
      </c>
      <c r="C367">
        <v>0</v>
      </c>
    </row>
    <row r="368" spans="1:3" x14ac:dyDescent="0.3">
      <c r="A368" s="12">
        <v>46119</v>
      </c>
      <c r="B368" t="s">
        <v>33</v>
      </c>
      <c r="C368">
        <v>0</v>
      </c>
    </row>
    <row r="369" spans="1:3" x14ac:dyDescent="0.3">
      <c r="A369" s="12">
        <v>46120</v>
      </c>
      <c r="B369" t="s">
        <v>33</v>
      </c>
      <c r="C369">
        <v>0</v>
      </c>
    </row>
    <row r="370" spans="1:3" x14ac:dyDescent="0.3">
      <c r="A370" s="12">
        <v>46121</v>
      </c>
      <c r="B370" t="s">
        <v>33</v>
      </c>
      <c r="C370">
        <v>0</v>
      </c>
    </row>
    <row r="371" spans="1:3" x14ac:dyDescent="0.3">
      <c r="A371" s="12">
        <v>46122</v>
      </c>
      <c r="B371" t="s">
        <v>33</v>
      </c>
      <c r="C371">
        <v>0</v>
      </c>
    </row>
    <row r="372" spans="1:3" x14ac:dyDescent="0.3">
      <c r="A372" s="12">
        <v>46123</v>
      </c>
      <c r="B372" t="s">
        <v>33</v>
      </c>
      <c r="C372">
        <v>0</v>
      </c>
    </row>
    <row r="373" spans="1:3" x14ac:dyDescent="0.3">
      <c r="A373" s="12">
        <v>46124</v>
      </c>
      <c r="B373" t="s">
        <v>33</v>
      </c>
      <c r="C373">
        <v>0</v>
      </c>
    </row>
    <row r="374" spans="1:3" x14ac:dyDescent="0.3">
      <c r="A374" s="12">
        <v>46125</v>
      </c>
      <c r="B374" t="s">
        <v>33</v>
      </c>
      <c r="C374">
        <v>0</v>
      </c>
    </row>
    <row r="375" spans="1:3" x14ac:dyDescent="0.3">
      <c r="A375" s="12">
        <v>46126</v>
      </c>
      <c r="B375" t="s">
        <v>33</v>
      </c>
      <c r="C375">
        <v>0</v>
      </c>
    </row>
    <row r="376" spans="1:3" x14ac:dyDescent="0.3">
      <c r="A376" s="12">
        <v>46127</v>
      </c>
      <c r="B376" t="s">
        <v>33</v>
      </c>
      <c r="C376">
        <v>0</v>
      </c>
    </row>
    <row r="377" spans="1:3" x14ac:dyDescent="0.3">
      <c r="A377" s="12">
        <v>46128</v>
      </c>
      <c r="B377" t="s">
        <v>33</v>
      </c>
      <c r="C377">
        <v>0</v>
      </c>
    </row>
    <row r="378" spans="1:3" x14ac:dyDescent="0.3">
      <c r="A378" s="12">
        <v>46129</v>
      </c>
      <c r="B378" t="s">
        <v>33</v>
      </c>
      <c r="C378">
        <v>0</v>
      </c>
    </row>
    <row r="379" spans="1:3" x14ac:dyDescent="0.3">
      <c r="A379" s="12">
        <v>46130</v>
      </c>
      <c r="B379" t="s">
        <v>33</v>
      </c>
      <c r="C379">
        <v>0</v>
      </c>
    </row>
    <row r="380" spans="1:3" x14ac:dyDescent="0.3">
      <c r="A380" s="12">
        <v>46131</v>
      </c>
      <c r="B380" t="s">
        <v>33</v>
      </c>
      <c r="C380">
        <v>0</v>
      </c>
    </row>
    <row r="381" spans="1:3" x14ac:dyDescent="0.3">
      <c r="A381" s="12">
        <v>46132</v>
      </c>
      <c r="B381" t="s">
        <v>33</v>
      </c>
      <c r="C381">
        <v>0</v>
      </c>
    </row>
    <row r="382" spans="1:3" x14ac:dyDescent="0.3">
      <c r="A382" s="12">
        <v>46133</v>
      </c>
      <c r="B382" t="s">
        <v>33</v>
      </c>
      <c r="C382">
        <v>0</v>
      </c>
    </row>
    <row r="383" spans="1:3" x14ac:dyDescent="0.3">
      <c r="A383" s="12">
        <v>46134</v>
      </c>
      <c r="B383" t="s">
        <v>33</v>
      </c>
      <c r="C383">
        <v>0</v>
      </c>
    </row>
    <row r="384" spans="1:3" x14ac:dyDescent="0.3">
      <c r="A384" s="12">
        <v>46135</v>
      </c>
      <c r="B384" t="s">
        <v>33</v>
      </c>
      <c r="C384">
        <v>0</v>
      </c>
    </row>
    <row r="385" spans="1:3" x14ac:dyDescent="0.3">
      <c r="A385" s="12">
        <v>46136</v>
      </c>
      <c r="B385" t="s">
        <v>33</v>
      </c>
      <c r="C385">
        <v>0</v>
      </c>
    </row>
    <row r="386" spans="1:3" x14ac:dyDescent="0.3">
      <c r="A386" s="12">
        <v>46137</v>
      </c>
      <c r="B386" t="s">
        <v>33</v>
      </c>
      <c r="C386">
        <v>0</v>
      </c>
    </row>
    <row r="387" spans="1:3" x14ac:dyDescent="0.3">
      <c r="A387" s="12">
        <v>46138</v>
      </c>
      <c r="B387" t="s">
        <v>33</v>
      </c>
      <c r="C387">
        <v>0</v>
      </c>
    </row>
    <row r="388" spans="1:3" x14ac:dyDescent="0.3">
      <c r="A388" s="12">
        <v>46139</v>
      </c>
      <c r="B388" t="s">
        <v>33</v>
      </c>
      <c r="C388">
        <v>0</v>
      </c>
    </row>
    <row r="389" spans="1:3" x14ac:dyDescent="0.3">
      <c r="A389" s="12">
        <v>46140</v>
      </c>
      <c r="B389" t="s">
        <v>33</v>
      </c>
      <c r="C389">
        <v>0</v>
      </c>
    </row>
    <row r="390" spans="1:3" x14ac:dyDescent="0.3">
      <c r="A390" s="12">
        <v>46141</v>
      </c>
      <c r="B390" t="s">
        <v>33</v>
      </c>
      <c r="C390">
        <v>0</v>
      </c>
    </row>
    <row r="391" spans="1:3" x14ac:dyDescent="0.3">
      <c r="A391" s="12">
        <v>46142</v>
      </c>
      <c r="B391" t="s">
        <v>33</v>
      </c>
      <c r="C391">
        <v>0</v>
      </c>
    </row>
    <row r="392" spans="1:3" x14ac:dyDescent="0.3">
      <c r="A392" s="12">
        <v>46143</v>
      </c>
      <c r="B392" t="s">
        <v>5</v>
      </c>
      <c r="C392">
        <v>1</v>
      </c>
    </row>
    <row r="393" spans="1:3" x14ac:dyDescent="0.3">
      <c r="A393" s="12">
        <v>46144</v>
      </c>
      <c r="B393" t="s">
        <v>5</v>
      </c>
      <c r="C393">
        <v>1</v>
      </c>
    </row>
    <row r="394" spans="1:3" x14ac:dyDescent="0.3">
      <c r="A394" s="12">
        <v>46145</v>
      </c>
      <c r="B394" t="s">
        <v>5</v>
      </c>
      <c r="C394">
        <v>1</v>
      </c>
    </row>
    <row r="395" spans="1:3" x14ac:dyDescent="0.3">
      <c r="A395" s="12">
        <v>46146</v>
      </c>
      <c r="B395" t="s">
        <v>5</v>
      </c>
      <c r="C395">
        <v>1</v>
      </c>
    </row>
    <row r="396" spans="1:3" x14ac:dyDescent="0.3">
      <c r="A396" s="12">
        <v>46147</v>
      </c>
      <c r="B396" t="s">
        <v>5</v>
      </c>
      <c r="C396">
        <v>1</v>
      </c>
    </row>
    <row r="397" spans="1:3" x14ac:dyDescent="0.3">
      <c r="A397" s="12">
        <v>46148</v>
      </c>
      <c r="B397" t="s">
        <v>5</v>
      </c>
      <c r="C397">
        <v>1</v>
      </c>
    </row>
    <row r="398" spans="1:3" x14ac:dyDescent="0.3">
      <c r="A398" s="12">
        <v>46149</v>
      </c>
      <c r="B398" t="s">
        <v>5</v>
      </c>
      <c r="C398">
        <v>1</v>
      </c>
    </row>
    <row r="399" spans="1:3" x14ac:dyDescent="0.3">
      <c r="A399" s="12">
        <v>46150</v>
      </c>
      <c r="B399" t="s">
        <v>5</v>
      </c>
      <c r="C399">
        <v>0</v>
      </c>
    </row>
    <row r="400" spans="1:3" x14ac:dyDescent="0.3">
      <c r="A400" s="12">
        <v>46151</v>
      </c>
      <c r="B400" t="s">
        <v>5</v>
      </c>
      <c r="C400">
        <v>1</v>
      </c>
    </row>
    <row r="401" spans="1:3" x14ac:dyDescent="0.3">
      <c r="A401" s="12">
        <v>46152</v>
      </c>
      <c r="B401" t="s">
        <v>5</v>
      </c>
      <c r="C401">
        <v>1</v>
      </c>
    </row>
    <row r="402" spans="1:3" x14ac:dyDescent="0.3">
      <c r="A402" s="12">
        <v>46153</v>
      </c>
      <c r="B402" t="s">
        <v>5</v>
      </c>
      <c r="C402">
        <v>1</v>
      </c>
    </row>
    <row r="403" spans="1:3" x14ac:dyDescent="0.3">
      <c r="A403" s="12">
        <v>46154</v>
      </c>
      <c r="B403" t="s">
        <v>5</v>
      </c>
      <c r="C403">
        <v>1</v>
      </c>
    </row>
    <row r="404" spans="1:3" x14ac:dyDescent="0.3">
      <c r="A404" s="12">
        <v>46155</v>
      </c>
      <c r="B404" t="s">
        <v>5</v>
      </c>
      <c r="C404">
        <v>1</v>
      </c>
    </row>
    <row r="405" spans="1:3" x14ac:dyDescent="0.3">
      <c r="A405" s="12">
        <v>46156</v>
      </c>
      <c r="B405" t="s">
        <v>5</v>
      </c>
      <c r="C405">
        <v>1</v>
      </c>
    </row>
    <row r="406" spans="1:3" x14ac:dyDescent="0.3">
      <c r="A406" s="12">
        <v>46157</v>
      </c>
      <c r="B406" t="s">
        <v>5</v>
      </c>
      <c r="C406">
        <v>0</v>
      </c>
    </row>
    <row r="407" spans="1:3" x14ac:dyDescent="0.3">
      <c r="A407" s="12">
        <v>46158</v>
      </c>
      <c r="B407" t="s">
        <v>5</v>
      </c>
      <c r="C407">
        <v>1</v>
      </c>
    </row>
    <row r="408" spans="1:3" x14ac:dyDescent="0.3">
      <c r="A408" s="12">
        <v>46159</v>
      </c>
      <c r="B408" t="s">
        <v>5</v>
      </c>
      <c r="C408">
        <v>1</v>
      </c>
    </row>
    <row r="409" spans="1:3" x14ac:dyDescent="0.3">
      <c r="A409" s="12">
        <v>46160</v>
      </c>
      <c r="B409" t="s">
        <v>5</v>
      </c>
      <c r="C409">
        <v>1</v>
      </c>
    </row>
    <row r="410" spans="1:3" x14ac:dyDescent="0.3">
      <c r="A410" s="12">
        <v>46161</v>
      </c>
      <c r="B410" t="s">
        <v>5</v>
      </c>
      <c r="C410">
        <v>1</v>
      </c>
    </row>
    <row r="411" spans="1:3" x14ac:dyDescent="0.3">
      <c r="A411" s="12">
        <v>46162</v>
      </c>
      <c r="B411" t="s">
        <v>5</v>
      </c>
      <c r="C411">
        <v>1</v>
      </c>
    </row>
    <row r="412" spans="1:3" x14ac:dyDescent="0.3">
      <c r="A412" s="12">
        <v>46163</v>
      </c>
      <c r="B412" t="s">
        <v>5</v>
      </c>
      <c r="C412">
        <v>1</v>
      </c>
    </row>
    <row r="413" spans="1:3" x14ac:dyDescent="0.3">
      <c r="A413" s="12">
        <v>46164</v>
      </c>
      <c r="B413" t="s">
        <v>5</v>
      </c>
      <c r="C413">
        <v>1</v>
      </c>
    </row>
    <row r="414" spans="1:3" x14ac:dyDescent="0.3">
      <c r="A414" s="12">
        <v>46165</v>
      </c>
      <c r="B414" t="s">
        <v>5</v>
      </c>
      <c r="C414">
        <v>0</v>
      </c>
    </row>
    <row r="415" spans="1:3" x14ac:dyDescent="0.3">
      <c r="A415" s="12">
        <v>46166</v>
      </c>
      <c r="B415" t="s">
        <v>5</v>
      </c>
      <c r="C415">
        <v>1</v>
      </c>
    </row>
    <row r="416" spans="1:3" x14ac:dyDescent="0.3">
      <c r="A416" s="12">
        <v>46167</v>
      </c>
      <c r="B416" t="s">
        <v>5</v>
      </c>
      <c r="C416">
        <v>1</v>
      </c>
    </row>
    <row r="417" spans="1:3" x14ac:dyDescent="0.3">
      <c r="A417" s="12">
        <v>46168</v>
      </c>
      <c r="B417" t="s">
        <v>5</v>
      </c>
      <c r="C417">
        <v>1</v>
      </c>
    </row>
    <row r="418" spans="1:3" x14ac:dyDescent="0.3">
      <c r="A418" s="12">
        <v>46169</v>
      </c>
      <c r="B418" t="s">
        <v>5</v>
      </c>
      <c r="C418">
        <v>1</v>
      </c>
    </row>
    <row r="419" spans="1:3" x14ac:dyDescent="0.3">
      <c r="A419" s="12">
        <v>46170</v>
      </c>
      <c r="B419" t="s">
        <v>5</v>
      </c>
      <c r="C419">
        <v>1</v>
      </c>
    </row>
    <row r="420" spans="1:3" x14ac:dyDescent="0.3">
      <c r="A420" s="12">
        <v>46171</v>
      </c>
      <c r="B420" t="s">
        <v>5</v>
      </c>
      <c r="C420">
        <v>1</v>
      </c>
    </row>
    <row r="421" spans="1:3" x14ac:dyDescent="0.3">
      <c r="A421" s="12">
        <v>46172</v>
      </c>
      <c r="B421" t="s">
        <v>5</v>
      </c>
      <c r="C421">
        <v>0</v>
      </c>
    </row>
    <row r="422" spans="1:3" x14ac:dyDescent="0.3">
      <c r="A422" s="12">
        <v>46173</v>
      </c>
      <c r="B422" t="s">
        <v>5</v>
      </c>
      <c r="C422">
        <v>1</v>
      </c>
    </row>
    <row r="423" spans="1:3" x14ac:dyDescent="0.3">
      <c r="A423" s="12">
        <v>46143</v>
      </c>
      <c r="B423" t="s">
        <v>7</v>
      </c>
      <c r="C423">
        <v>1</v>
      </c>
    </row>
    <row r="424" spans="1:3" x14ac:dyDescent="0.3">
      <c r="A424" s="12">
        <v>46144</v>
      </c>
      <c r="B424" t="s">
        <v>7</v>
      </c>
      <c r="C424">
        <v>1</v>
      </c>
    </row>
    <row r="425" spans="1:3" x14ac:dyDescent="0.3">
      <c r="A425" s="12">
        <v>46145</v>
      </c>
      <c r="B425" t="s">
        <v>7</v>
      </c>
      <c r="C425">
        <v>1</v>
      </c>
    </row>
    <row r="426" spans="1:3" x14ac:dyDescent="0.3">
      <c r="A426" s="12">
        <v>46146</v>
      </c>
      <c r="B426" t="s">
        <v>7</v>
      </c>
      <c r="C426">
        <v>1</v>
      </c>
    </row>
    <row r="427" spans="1:3" x14ac:dyDescent="0.3">
      <c r="A427" s="12">
        <v>46147</v>
      </c>
      <c r="B427" t="s">
        <v>7</v>
      </c>
      <c r="C427">
        <v>0</v>
      </c>
    </row>
    <row r="428" spans="1:3" x14ac:dyDescent="0.3">
      <c r="A428" s="12">
        <v>46148</v>
      </c>
      <c r="B428" t="s">
        <v>7</v>
      </c>
      <c r="C428">
        <v>0</v>
      </c>
    </row>
    <row r="429" spans="1:3" x14ac:dyDescent="0.3">
      <c r="A429" s="12">
        <v>46149</v>
      </c>
      <c r="B429" t="s">
        <v>7</v>
      </c>
      <c r="C429">
        <v>1</v>
      </c>
    </row>
    <row r="430" spans="1:3" x14ac:dyDescent="0.3">
      <c r="A430" s="12">
        <v>46150</v>
      </c>
      <c r="B430" t="s">
        <v>7</v>
      </c>
      <c r="C430">
        <v>1</v>
      </c>
    </row>
    <row r="431" spans="1:3" x14ac:dyDescent="0.3">
      <c r="A431" s="12">
        <v>46151</v>
      </c>
      <c r="B431" t="s">
        <v>7</v>
      </c>
      <c r="C431">
        <v>1</v>
      </c>
    </row>
    <row r="432" spans="1:3" x14ac:dyDescent="0.3">
      <c r="A432" s="12">
        <v>46152</v>
      </c>
      <c r="B432" t="s">
        <v>7</v>
      </c>
      <c r="C432">
        <v>0</v>
      </c>
    </row>
    <row r="433" spans="1:3" x14ac:dyDescent="0.3">
      <c r="A433" s="12">
        <v>46153</v>
      </c>
      <c r="B433" t="s">
        <v>7</v>
      </c>
      <c r="C433">
        <v>1</v>
      </c>
    </row>
    <row r="434" spans="1:3" x14ac:dyDescent="0.3">
      <c r="A434" s="12">
        <v>46154</v>
      </c>
      <c r="B434" t="s">
        <v>7</v>
      </c>
      <c r="C434">
        <v>0</v>
      </c>
    </row>
    <row r="435" spans="1:3" x14ac:dyDescent="0.3">
      <c r="A435" s="12">
        <v>46155</v>
      </c>
      <c r="B435" t="s">
        <v>7</v>
      </c>
      <c r="C435">
        <v>0</v>
      </c>
    </row>
    <row r="436" spans="1:3" x14ac:dyDescent="0.3">
      <c r="A436" s="12">
        <v>46156</v>
      </c>
      <c r="B436" t="s">
        <v>7</v>
      </c>
      <c r="C436">
        <v>1</v>
      </c>
    </row>
    <row r="437" spans="1:3" x14ac:dyDescent="0.3">
      <c r="A437" s="12">
        <v>46157</v>
      </c>
      <c r="B437" t="s">
        <v>7</v>
      </c>
      <c r="C437">
        <v>1</v>
      </c>
    </row>
    <row r="438" spans="1:3" x14ac:dyDescent="0.3">
      <c r="A438" s="12">
        <v>46158</v>
      </c>
      <c r="B438" t="s">
        <v>7</v>
      </c>
      <c r="C438">
        <v>1</v>
      </c>
    </row>
    <row r="439" spans="1:3" x14ac:dyDescent="0.3">
      <c r="A439" s="12">
        <v>46159</v>
      </c>
      <c r="B439" t="s">
        <v>7</v>
      </c>
      <c r="C439">
        <v>1</v>
      </c>
    </row>
    <row r="440" spans="1:3" x14ac:dyDescent="0.3">
      <c r="A440" s="12">
        <v>46160</v>
      </c>
      <c r="B440" t="s">
        <v>7</v>
      </c>
      <c r="C440">
        <v>1</v>
      </c>
    </row>
    <row r="441" spans="1:3" x14ac:dyDescent="0.3">
      <c r="A441" s="12">
        <v>46161</v>
      </c>
      <c r="B441" t="s">
        <v>7</v>
      </c>
      <c r="C441">
        <v>0</v>
      </c>
    </row>
    <row r="442" spans="1:3" x14ac:dyDescent="0.3">
      <c r="A442" s="12">
        <v>46162</v>
      </c>
      <c r="B442" t="s">
        <v>7</v>
      </c>
      <c r="C442">
        <v>0</v>
      </c>
    </row>
    <row r="443" spans="1:3" x14ac:dyDescent="0.3">
      <c r="A443" s="12">
        <v>46163</v>
      </c>
      <c r="B443" t="s">
        <v>7</v>
      </c>
      <c r="C443">
        <v>1</v>
      </c>
    </row>
    <row r="444" spans="1:3" x14ac:dyDescent="0.3">
      <c r="A444" s="12">
        <v>46164</v>
      </c>
      <c r="B444" t="s">
        <v>7</v>
      </c>
      <c r="C444">
        <v>1</v>
      </c>
    </row>
    <row r="445" spans="1:3" x14ac:dyDescent="0.3">
      <c r="A445" s="12">
        <v>46165</v>
      </c>
      <c r="B445" t="s">
        <v>7</v>
      </c>
      <c r="C445">
        <v>1</v>
      </c>
    </row>
    <row r="446" spans="1:3" x14ac:dyDescent="0.3">
      <c r="A446" s="12">
        <v>46166</v>
      </c>
      <c r="B446" t="s">
        <v>7</v>
      </c>
      <c r="C446">
        <v>1</v>
      </c>
    </row>
    <row r="447" spans="1:3" x14ac:dyDescent="0.3">
      <c r="A447" s="12">
        <v>46167</v>
      </c>
      <c r="B447" t="s">
        <v>7</v>
      </c>
      <c r="C447">
        <v>0</v>
      </c>
    </row>
    <row r="448" spans="1:3" x14ac:dyDescent="0.3">
      <c r="A448" s="12">
        <v>46168</v>
      </c>
      <c r="B448" t="s">
        <v>7</v>
      </c>
      <c r="C448">
        <v>1</v>
      </c>
    </row>
    <row r="449" spans="1:3" x14ac:dyDescent="0.3">
      <c r="A449" s="12">
        <v>46169</v>
      </c>
      <c r="B449" t="s">
        <v>7</v>
      </c>
      <c r="C449">
        <v>0</v>
      </c>
    </row>
    <row r="450" spans="1:3" x14ac:dyDescent="0.3">
      <c r="A450" s="12">
        <v>46170</v>
      </c>
      <c r="B450" t="s">
        <v>7</v>
      </c>
      <c r="C450">
        <v>0</v>
      </c>
    </row>
    <row r="451" spans="1:3" x14ac:dyDescent="0.3">
      <c r="A451" s="12">
        <v>46171</v>
      </c>
      <c r="B451" t="s">
        <v>7</v>
      </c>
      <c r="C451">
        <v>1</v>
      </c>
    </row>
    <row r="452" spans="1:3" x14ac:dyDescent="0.3">
      <c r="A452" s="12">
        <v>46172</v>
      </c>
      <c r="B452" t="s">
        <v>7</v>
      </c>
      <c r="C452">
        <v>1</v>
      </c>
    </row>
    <row r="453" spans="1:3" x14ac:dyDescent="0.3">
      <c r="A453" s="12">
        <v>46173</v>
      </c>
      <c r="B453" t="s">
        <v>7</v>
      </c>
      <c r="C453">
        <v>1</v>
      </c>
    </row>
    <row r="454" spans="1:3" x14ac:dyDescent="0.3">
      <c r="A454" s="12">
        <v>46143</v>
      </c>
      <c r="B454" t="s">
        <v>30</v>
      </c>
      <c r="C454">
        <v>1</v>
      </c>
    </row>
    <row r="455" spans="1:3" x14ac:dyDescent="0.3">
      <c r="A455" s="12">
        <v>46144</v>
      </c>
      <c r="B455" t="s">
        <v>30</v>
      </c>
      <c r="C455">
        <v>1</v>
      </c>
    </row>
    <row r="456" spans="1:3" x14ac:dyDescent="0.3">
      <c r="A456" s="12">
        <v>46145</v>
      </c>
      <c r="B456" t="s">
        <v>30</v>
      </c>
      <c r="C456">
        <v>1</v>
      </c>
    </row>
    <row r="457" spans="1:3" x14ac:dyDescent="0.3">
      <c r="A457" s="12">
        <v>46146</v>
      </c>
      <c r="B457" t="s">
        <v>30</v>
      </c>
      <c r="C457">
        <v>1</v>
      </c>
    </row>
    <row r="458" spans="1:3" x14ac:dyDescent="0.3">
      <c r="A458" s="12">
        <v>46147</v>
      </c>
      <c r="B458" t="s">
        <v>30</v>
      </c>
      <c r="C458">
        <v>1</v>
      </c>
    </row>
    <row r="459" spans="1:3" x14ac:dyDescent="0.3">
      <c r="A459" s="12">
        <v>46148</v>
      </c>
      <c r="B459" t="s">
        <v>30</v>
      </c>
      <c r="C459">
        <v>1</v>
      </c>
    </row>
    <row r="460" spans="1:3" x14ac:dyDescent="0.3">
      <c r="A460" s="12">
        <v>46149</v>
      </c>
      <c r="B460" t="s">
        <v>30</v>
      </c>
      <c r="C460">
        <v>1</v>
      </c>
    </row>
    <row r="461" spans="1:3" x14ac:dyDescent="0.3">
      <c r="A461" s="12">
        <v>46150</v>
      </c>
      <c r="B461" t="s">
        <v>30</v>
      </c>
      <c r="C461">
        <v>0</v>
      </c>
    </row>
    <row r="462" spans="1:3" x14ac:dyDescent="0.3">
      <c r="A462" s="12">
        <v>46151</v>
      </c>
      <c r="B462" t="s">
        <v>30</v>
      </c>
      <c r="C462">
        <v>1</v>
      </c>
    </row>
    <row r="463" spans="1:3" x14ac:dyDescent="0.3">
      <c r="A463" s="12">
        <v>46152</v>
      </c>
      <c r="B463" t="s">
        <v>30</v>
      </c>
      <c r="C463">
        <v>1</v>
      </c>
    </row>
    <row r="464" spans="1:3" x14ac:dyDescent="0.3">
      <c r="A464" s="12">
        <v>46153</v>
      </c>
      <c r="B464" t="s">
        <v>30</v>
      </c>
      <c r="C464">
        <v>1</v>
      </c>
    </row>
    <row r="465" spans="1:3" x14ac:dyDescent="0.3">
      <c r="A465" s="12">
        <v>46154</v>
      </c>
      <c r="B465" t="s">
        <v>30</v>
      </c>
      <c r="C465">
        <v>1</v>
      </c>
    </row>
    <row r="466" spans="1:3" x14ac:dyDescent="0.3">
      <c r="A466" s="12">
        <v>46155</v>
      </c>
      <c r="B466" t="s">
        <v>30</v>
      </c>
      <c r="C466">
        <v>0</v>
      </c>
    </row>
    <row r="467" spans="1:3" x14ac:dyDescent="0.3">
      <c r="A467" s="12">
        <v>46156</v>
      </c>
      <c r="B467" t="s">
        <v>30</v>
      </c>
      <c r="C467">
        <v>1</v>
      </c>
    </row>
    <row r="468" spans="1:3" x14ac:dyDescent="0.3">
      <c r="A468" s="12">
        <v>46157</v>
      </c>
      <c r="B468" t="s">
        <v>30</v>
      </c>
      <c r="C468">
        <v>1</v>
      </c>
    </row>
    <row r="469" spans="1:3" x14ac:dyDescent="0.3">
      <c r="A469" s="12">
        <v>46158</v>
      </c>
      <c r="B469" t="s">
        <v>30</v>
      </c>
      <c r="C469">
        <v>1</v>
      </c>
    </row>
    <row r="470" spans="1:3" x14ac:dyDescent="0.3">
      <c r="A470" s="12">
        <v>46159</v>
      </c>
      <c r="B470" t="s">
        <v>30</v>
      </c>
      <c r="C470">
        <v>0</v>
      </c>
    </row>
    <row r="471" spans="1:3" x14ac:dyDescent="0.3">
      <c r="A471" s="12">
        <v>46160</v>
      </c>
      <c r="B471" t="s">
        <v>30</v>
      </c>
      <c r="C471">
        <v>1</v>
      </c>
    </row>
    <row r="472" spans="1:3" x14ac:dyDescent="0.3">
      <c r="A472" s="12">
        <v>46161</v>
      </c>
      <c r="B472" t="s">
        <v>30</v>
      </c>
      <c r="C472">
        <v>1</v>
      </c>
    </row>
    <row r="473" spans="1:3" x14ac:dyDescent="0.3">
      <c r="A473" s="12">
        <v>46162</v>
      </c>
      <c r="B473" t="s">
        <v>30</v>
      </c>
      <c r="C473">
        <v>1</v>
      </c>
    </row>
    <row r="474" spans="1:3" x14ac:dyDescent="0.3">
      <c r="A474" s="12">
        <v>46163</v>
      </c>
      <c r="B474" t="s">
        <v>30</v>
      </c>
      <c r="C474">
        <v>1</v>
      </c>
    </row>
    <row r="475" spans="1:3" x14ac:dyDescent="0.3">
      <c r="A475" s="12">
        <v>46164</v>
      </c>
      <c r="B475" t="s">
        <v>30</v>
      </c>
      <c r="C475">
        <v>0</v>
      </c>
    </row>
    <row r="476" spans="1:3" x14ac:dyDescent="0.3">
      <c r="A476" s="12">
        <v>46165</v>
      </c>
      <c r="B476" t="s">
        <v>30</v>
      </c>
      <c r="C476">
        <v>0</v>
      </c>
    </row>
    <row r="477" spans="1:3" x14ac:dyDescent="0.3">
      <c r="A477" s="12">
        <v>46166</v>
      </c>
      <c r="B477" t="s">
        <v>30</v>
      </c>
      <c r="C477">
        <v>1</v>
      </c>
    </row>
    <row r="478" spans="1:3" x14ac:dyDescent="0.3">
      <c r="A478" s="12">
        <v>46167</v>
      </c>
      <c r="B478" t="s">
        <v>30</v>
      </c>
      <c r="C478">
        <v>1</v>
      </c>
    </row>
    <row r="479" spans="1:3" x14ac:dyDescent="0.3">
      <c r="A479" s="12">
        <v>46168</v>
      </c>
      <c r="B479" t="s">
        <v>30</v>
      </c>
      <c r="C479">
        <v>1</v>
      </c>
    </row>
    <row r="480" spans="1:3" x14ac:dyDescent="0.3">
      <c r="A480" s="12">
        <v>46169</v>
      </c>
      <c r="B480" t="s">
        <v>30</v>
      </c>
      <c r="C480">
        <v>1</v>
      </c>
    </row>
    <row r="481" spans="1:3" x14ac:dyDescent="0.3">
      <c r="A481" s="12">
        <v>46170</v>
      </c>
      <c r="B481" t="s">
        <v>30</v>
      </c>
      <c r="C481">
        <v>1</v>
      </c>
    </row>
    <row r="482" spans="1:3" x14ac:dyDescent="0.3">
      <c r="A482" s="12">
        <v>46171</v>
      </c>
      <c r="B482" t="s">
        <v>30</v>
      </c>
      <c r="C482">
        <v>1</v>
      </c>
    </row>
    <row r="483" spans="1:3" x14ac:dyDescent="0.3">
      <c r="A483" s="12">
        <v>46172</v>
      </c>
      <c r="B483" t="s">
        <v>30</v>
      </c>
      <c r="C483">
        <v>0</v>
      </c>
    </row>
    <row r="484" spans="1:3" x14ac:dyDescent="0.3">
      <c r="A484" s="12">
        <v>46173</v>
      </c>
      <c r="B484" t="s">
        <v>30</v>
      </c>
      <c r="C484">
        <v>1</v>
      </c>
    </row>
    <row r="485" spans="1:3" x14ac:dyDescent="0.3">
      <c r="A485" s="12">
        <v>46143</v>
      </c>
      <c r="B485" t="s">
        <v>10</v>
      </c>
      <c r="C485">
        <v>1</v>
      </c>
    </row>
    <row r="486" spans="1:3" x14ac:dyDescent="0.3">
      <c r="A486" s="12">
        <v>46144</v>
      </c>
      <c r="B486" t="s">
        <v>10</v>
      </c>
      <c r="C486">
        <v>1</v>
      </c>
    </row>
    <row r="487" spans="1:3" x14ac:dyDescent="0.3">
      <c r="A487" s="12">
        <v>46145</v>
      </c>
      <c r="B487" t="s">
        <v>10</v>
      </c>
      <c r="C487">
        <v>0</v>
      </c>
    </row>
    <row r="488" spans="1:3" x14ac:dyDescent="0.3">
      <c r="A488" s="12">
        <v>46146</v>
      </c>
      <c r="B488" t="s">
        <v>10</v>
      </c>
      <c r="C488">
        <v>0</v>
      </c>
    </row>
    <row r="489" spans="1:3" x14ac:dyDescent="0.3">
      <c r="A489" s="12">
        <v>46147</v>
      </c>
      <c r="B489" t="s">
        <v>10</v>
      </c>
      <c r="C489">
        <v>0</v>
      </c>
    </row>
    <row r="490" spans="1:3" x14ac:dyDescent="0.3">
      <c r="A490" s="12">
        <v>46148</v>
      </c>
      <c r="B490" t="s">
        <v>10</v>
      </c>
      <c r="C490">
        <v>1</v>
      </c>
    </row>
    <row r="491" spans="1:3" x14ac:dyDescent="0.3">
      <c r="A491" s="12">
        <v>46149</v>
      </c>
      <c r="B491" t="s">
        <v>10</v>
      </c>
      <c r="C491">
        <v>1</v>
      </c>
    </row>
    <row r="492" spans="1:3" x14ac:dyDescent="0.3">
      <c r="A492" s="12">
        <v>46150</v>
      </c>
      <c r="B492" t="s">
        <v>10</v>
      </c>
      <c r="C492">
        <v>0</v>
      </c>
    </row>
    <row r="493" spans="1:3" x14ac:dyDescent="0.3">
      <c r="A493" s="12">
        <v>46151</v>
      </c>
      <c r="B493" t="s">
        <v>10</v>
      </c>
      <c r="C493">
        <v>1</v>
      </c>
    </row>
    <row r="494" spans="1:3" x14ac:dyDescent="0.3">
      <c r="A494" s="12">
        <v>46152</v>
      </c>
      <c r="B494" t="s">
        <v>10</v>
      </c>
      <c r="C494">
        <v>0</v>
      </c>
    </row>
    <row r="495" spans="1:3" x14ac:dyDescent="0.3">
      <c r="A495" s="12">
        <v>46153</v>
      </c>
      <c r="B495" t="s">
        <v>10</v>
      </c>
      <c r="C495">
        <v>0</v>
      </c>
    </row>
    <row r="496" spans="1:3" x14ac:dyDescent="0.3">
      <c r="A496" s="12">
        <v>46154</v>
      </c>
      <c r="B496" t="s">
        <v>10</v>
      </c>
      <c r="C496">
        <v>0</v>
      </c>
    </row>
    <row r="497" spans="1:3" x14ac:dyDescent="0.3">
      <c r="A497" s="12">
        <v>46155</v>
      </c>
      <c r="B497" t="s">
        <v>10</v>
      </c>
      <c r="C497">
        <v>1</v>
      </c>
    </row>
    <row r="498" spans="1:3" x14ac:dyDescent="0.3">
      <c r="A498" s="12">
        <v>46156</v>
      </c>
      <c r="B498" t="s">
        <v>10</v>
      </c>
      <c r="C498">
        <v>1</v>
      </c>
    </row>
    <row r="499" spans="1:3" x14ac:dyDescent="0.3">
      <c r="A499" s="12">
        <v>46157</v>
      </c>
      <c r="B499" t="s">
        <v>10</v>
      </c>
      <c r="C499">
        <v>0</v>
      </c>
    </row>
    <row r="500" spans="1:3" x14ac:dyDescent="0.3">
      <c r="A500" s="12">
        <v>46158</v>
      </c>
      <c r="B500" t="s">
        <v>10</v>
      </c>
      <c r="C500">
        <v>1</v>
      </c>
    </row>
    <row r="501" spans="1:3" x14ac:dyDescent="0.3">
      <c r="A501" s="12">
        <v>46159</v>
      </c>
      <c r="B501" t="s">
        <v>10</v>
      </c>
      <c r="C501">
        <v>0</v>
      </c>
    </row>
    <row r="502" spans="1:3" x14ac:dyDescent="0.3">
      <c r="A502" s="12">
        <v>46160</v>
      </c>
      <c r="B502" t="s">
        <v>10</v>
      </c>
      <c r="C502">
        <v>0</v>
      </c>
    </row>
    <row r="503" spans="1:3" x14ac:dyDescent="0.3">
      <c r="A503" s="12">
        <v>46161</v>
      </c>
      <c r="B503" t="s">
        <v>10</v>
      </c>
      <c r="C503">
        <v>0</v>
      </c>
    </row>
    <row r="504" spans="1:3" x14ac:dyDescent="0.3">
      <c r="A504" s="12">
        <v>46162</v>
      </c>
      <c r="B504" t="s">
        <v>10</v>
      </c>
      <c r="C504">
        <v>1</v>
      </c>
    </row>
    <row r="505" spans="1:3" x14ac:dyDescent="0.3">
      <c r="A505" s="12">
        <v>46163</v>
      </c>
      <c r="B505" t="s">
        <v>10</v>
      </c>
      <c r="C505">
        <v>1</v>
      </c>
    </row>
    <row r="506" spans="1:3" x14ac:dyDescent="0.3">
      <c r="A506" s="12">
        <v>46164</v>
      </c>
      <c r="B506" t="s">
        <v>10</v>
      </c>
      <c r="C506">
        <v>0</v>
      </c>
    </row>
    <row r="507" spans="1:3" x14ac:dyDescent="0.3">
      <c r="A507" s="12">
        <v>46165</v>
      </c>
      <c r="B507" t="s">
        <v>10</v>
      </c>
      <c r="C507">
        <v>0</v>
      </c>
    </row>
    <row r="508" spans="1:3" x14ac:dyDescent="0.3">
      <c r="A508" s="12">
        <v>46166</v>
      </c>
      <c r="B508" t="s">
        <v>10</v>
      </c>
      <c r="C508">
        <v>1</v>
      </c>
    </row>
    <row r="509" spans="1:3" x14ac:dyDescent="0.3">
      <c r="A509" s="12">
        <v>46167</v>
      </c>
      <c r="B509" t="s">
        <v>10</v>
      </c>
      <c r="C509">
        <v>0</v>
      </c>
    </row>
    <row r="510" spans="1:3" x14ac:dyDescent="0.3">
      <c r="A510" s="12">
        <v>46168</v>
      </c>
      <c r="B510" t="s">
        <v>10</v>
      </c>
      <c r="C510">
        <v>0</v>
      </c>
    </row>
    <row r="511" spans="1:3" x14ac:dyDescent="0.3">
      <c r="A511" s="12">
        <v>46169</v>
      </c>
      <c r="B511" t="s">
        <v>10</v>
      </c>
      <c r="C511">
        <v>0</v>
      </c>
    </row>
    <row r="512" spans="1:3" x14ac:dyDescent="0.3">
      <c r="A512" s="12">
        <v>46170</v>
      </c>
      <c r="B512" t="s">
        <v>10</v>
      </c>
      <c r="C512">
        <v>1</v>
      </c>
    </row>
    <row r="513" spans="1:3" x14ac:dyDescent="0.3">
      <c r="A513" s="12">
        <v>46171</v>
      </c>
      <c r="B513" t="s">
        <v>10</v>
      </c>
      <c r="C513">
        <v>1</v>
      </c>
    </row>
    <row r="514" spans="1:3" x14ac:dyDescent="0.3">
      <c r="A514" s="12">
        <v>46172</v>
      </c>
      <c r="B514" t="s">
        <v>10</v>
      </c>
      <c r="C514">
        <v>1</v>
      </c>
    </row>
    <row r="515" spans="1:3" x14ac:dyDescent="0.3">
      <c r="A515" s="12">
        <v>46173</v>
      </c>
      <c r="B515" t="s">
        <v>10</v>
      </c>
      <c r="C515">
        <v>1</v>
      </c>
    </row>
    <row r="516" spans="1:3" x14ac:dyDescent="0.3">
      <c r="A516" s="12">
        <v>46143</v>
      </c>
      <c r="B516" t="s">
        <v>12</v>
      </c>
      <c r="C516">
        <v>1</v>
      </c>
    </row>
    <row r="517" spans="1:3" x14ac:dyDescent="0.3">
      <c r="A517" s="12">
        <v>46144</v>
      </c>
      <c r="B517" t="s">
        <v>12</v>
      </c>
      <c r="C517">
        <v>1</v>
      </c>
    </row>
    <row r="518" spans="1:3" x14ac:dyDescent="0.3">
      <c r="A518" s="12">
        <v>46145</v>
      </c>
      <c r="B518" t="s">
        <v>12</v>
      </c>
      <c r="C518">
        <v>1</v>
      </c>
    </row>
    <row r="519" spans="1:3" x14ac:dyDescent="0.3">
      <c r="A519" s="12">
        <v>46146</v>
      </c>
      <c r="B519" t="s">
        <v>12</v>
      </c>
      <c r="C519">
        <v>1</v>
      </c>
    </row>
    <row r="520" spans="1:3" x14ac:dyDescent="0.3">
      <c r="A520" s="12">
        <v>46147</v>
      </c>
      <c r="B520" t="s">
        <v>12</v>
      </c>
      <c r="C520">
        <v>1</v>
      </c>
    </row>
    <row r="521" spans="1:3" x14ac:dyDescent="0.3">
      <c r="A521" s="12">
        <v>46148</v>
      </c>
      <c r="B521" t="s">
        <v>12</v>
      </c>
      <c r="C521">
        <v>1</v>
      </c>
    </row>
    <row r="522" spans="1:3" x14ac:dyDescent="0.3">
      <c r="A522" s="12">
        <v>46149</v>
      </c>
      <c r="B522" t="s">
        <v>12</v>
      </c>
      <c r="C522">
        <v>0</v>
      </c>
    </row>
    <row r="523" spans="1:3" x14ac:dyDescent="0.3">
      <c r="A523" s="12">
        <v>46150</v>
      </c>
      <c r="B523" t="s">
        <v>12</v>
      </c>
      <c r="C523">
        <v>1</v>
      </c>
    </row>
    <row r="524" spans="1:3" x14ac:dyDescent="0.3">
      <c r="A524" s="12">
        <v>46151</v>
      </c>
      <c r="B524" t="s">
        <v>12</v>
      </c>
      <c r="C524">
        <v>1</v>
      </c>
    </row>
    <row r="525" spans="1:3" x14ac:dyDescent="0.3">
      <c r="A525" s="12">
        <v>46152</v>
      </c>
      <c r="B525" t="s">
        <v>12</v>
      </c>
      <c r="C525">
        <v>1</v>
      </c>
    </row>
    <row r="526" spans="1:3" x14ac:dyDescent="0.3">
      <c r="A526" s="12">
        <v>46153</v>
      </c>
      <c r="B526" t="s">
        <v>12</v>
      </c>
      <c r="C526">
        <v>1</v>
      </c>
    </row>
    <row r="527" spans="1:3" x14ac:dyDescent="0.3">
      <c r="A527" s="12">
        <v>46154</v>
      </c>
      <c r="B527" t="s">
        <v>12</v>
      </c>
      <c r="C527">
        <v>1</v>
      </c>
    </row>
    <row r="528" spans="1:3" x14ac:dyDescent="0.3">
      <c r="A528" s="12">
        <v>46155</v>
      </c>
      <c r="B528" t="s">
        <v>12</v>
      </c>
      <c r="C528">
        <v>1</v>
      </c>
    </row>
    <row r="529" spans="1:3" x14ac:dyDescent="0.3">
      <c r="A529" s="12">
        <v>46156</v>
      </c>
      <c r="B529" t="s">
        <v>12</v>
      </c>
      <c r="C529">
        <v>0</v>
      </c>
    </row>
    <row r="530" spans="1:3" x14ac:dyDescent="0.3">
      <c r="A530" s="12">
        <v>46157</v>
      </c>
      <c r="B530" t="s">
        <v>12</v>
      </c>
      <c r="C530">
        <v>1</v>
      </c>
    </row>
    <row r="531" spans="1:3" x14ac:dyDescent="0.3">
      <c r="A531" s="12">
        <v>46158</v>
      </c>
      <c r="B531" t="s">
        <v>12</v>
      </c>
      <c r="C531">
        <v>1</v>
      </c>
    </row>
    <row r="532" spans="1:3" x14ac:dyDescent="0.3">
      <c r="A532" s="12">
        <v>46159</v>
      </c>
      <c r="B532" t="s">
        <v>12</v>
      </c>
      <c r="C532">
        <v>1</v>
      </c>
    </row>
    <row r="533" spans="1:3" x14ac:dyDescent="0.3">
      <c r="A533" s="12">
        <v>46160</v>
      </c>
      <c r="B533" t="s">
        <v>12</v>
      </c>
      <c r="C533">
        <v>1</v>
      </c>
    </row>
    <row r="534" spans="1:3" x14ac:dyDescent="0.3">
      <c r="A534" s="12">
        <v>46161</v>
      </c>
      <c r="B534" t="s">
        <v>12</v>
      </c>
      <c r="C534">
        <v>1</v>
      </c>
    </row>
    <row r="535" spans="1:3" x14ac:dyDescent="0.3">
      <c r="A535" s="12">
        <v>46162</v>
      </c>
      <c r="B535" t="s">
        <v>12</v>
      </c>
      <c r="C535">
        <v>1</v>
      </c>
    </row>
    <row r="536" spans="1:3" x14ac:dyDescent="0.3">
      <c r="A536" s="12">
        <v>46163</v>
      </c>
      <c r="B536" t="s">
        <v>12</v>
      </c>
      <c r="C536">
        <v>0</v>
      </c>
    </row>
    <row r="537" spans="1:3" x14ac:dyDescent="0.3">
      <c r="A537" s="12">
        <v>46164</v>
      </c>
      <c r="B537" t="s">
        <v>12</v>
      </c>
      <c r="C537">
        <v>1</v>
      </c>
    </row>
    <row r="538" spans="1:3" x14ac:dyDescent="0.3">
      <c r="A538" s="12">
        <v>46165</v>
      </c>
      <c r="B538" t="s">
        <v>12</v>
      </c>
      <c r="C538">
        <v>1</v>
      </c>
    </row>
    <row r="539" spans="1:3" x14ac:dyDescent="0.3">
      <c r="A539" s="12">
        <v>46166</v>
      </c>
      <c r="B539" t="s">
        <v>12</v>
      </c>
      <c r="C539">
        <v>1</v>
      </c>
    </row>
    <row r="540" spans="1:3" x14ac:dyDescent="0.3">
      <c r="A540" s="12">
        <v>46167</v>
      </c>
      <c r="B540" t="s">
        <v>12</v>
      </c>
      <c r="C540">
        <v>1</v>
      </c>
    </row>
    <row r="541" spans="1:3" x14ac:dyDescent="0.3">
      <c r="A541" s="12">
        <v>46168</v>
      </c>
      <c r="B541" t="s">
        <v>12</v>
      </c>
      <c r="C541">
        <v>1</v>
      </c>
    </row>
    <row r="542" spans="1:3" x14ac:dyDescent="0.3">
      <c r="A542" s="12">
        <v>46169</v>
      </c>
      <c r="B542" t="s">
        <v>12</v>
      </c>
      <c r="C542">
        <v>1</v>
      </c>
    </row>
    <row r="543" spans="1:3" x14ac:dyDescent="0.3">
      <c r="A543" s="12">
        <v>46170</v>
      </c>
      <c r="B543" t="s">
        <v>12</v>
      </c>
      <c r="C543">
        <v>1</v>
      </c>
    </row>
    <row r="544" spans="1:3" x14ac:dyDescent="0.3">
      <c r="A544" s="12">
        <v>46171</v>
      </c>
      <c r="B544" t="s">
        <v>12</v>
      </c>
      <c r="C544">
        <v>0</v>
      </c>
    </row>
    <row r="545" spans="1:3" x14ac:dyDescent="0.3">
      <c r="A545" s="12">
        <v>46172</v>
      </c>
      <c r="B545" t="s">
        <v>12</v>
      </c>
      <c r="C545">
        <v>1</v>
      </c>
    </row>
    <row r="546" spans="1:3" x14ac:dyDescent="0.3">
      <c r="A546" s="12">
        <v>46173</v>
      </c>
      <c r="B546" t="s">
        <v>12</v>
      </c>
      <c r="C546">
        <v>1</v>
      </c>
    </row>
    <row r="547" spans="1:3" x14ac:dyDescent="0.3">
      <c r="A547" s="12">
        <v>46143</v>
      </c>
      <c r="B547" t="s">
        <v>14</v>
      </c>
      <c r="C547">
        <v>1</v>
      </c>
    </row>
    <row r="548" spans="1:3" x14ac:dyDescent="0.3">
      <c r="A548" s="12">
        <v>46144</v>
      </c>
      <c r="B548" t="s">
        <v>14</v>
      </c>
      <c r="C548">
        <v>0</v>
      </c>
    </row>
    <row r="549" spans="1:3" x14ac:dyDescent="0.3">
      <c r="A549" s="12">
        <v>46145</v>
      </c>
      <c r="B549" t="s">
        <v>14</v>
      </c>
      <c r="C549">
        <v>1</v>
      </c>
    </row>
    <row r="550" spans="1:3" x14ac:dyDescent="0.3">
      <c r="A550" s="12">
        <v>46146</v>
      </c>
      <c r="B550" t="s">
        <v>14</v>
      </c>
      <c r="C550">
        <v>1</v>
      </c>
    </row>
    <row r="551" spans="1:3" x14ac:dyDescent="0.3">
      <c r="A551" s="12">
        <v>46147</v>
      </c>
      <c r="B551" t="s">
        <v>14</v>
      </c>
      <c r="C551">
        <v>1</v>
      </c>
    </row>
    <row r="552" spans="1:3" x14ac:dyDescent="0.3">
      <c r="A552" s="12">
        <v>46148</v>
      </c>
      <c r="B552" t="s">
        <v>14</v>
      </c>
      <c r="C552">
        <v>1</v>
      </c>
    </row>
    <row r="553" spans="1:3" x14ac:dyDescent="0.3">
      <c r="A553" s="12">
        <v>46149</v>
      </c>
      <c r="B553" t="s">
        <v>14</v>
      </c>
      <c r="C553">
        <v>1</v>
      </c>
    </row>
    <row r="554" spans="1:3" x14ac:dyDescent="0.3">
      <c r="A554" s="12">
        <v>46150</v>
      </c>
      <c r="B554" t="s">
        <v>14</v>
      </c>
      <c r="C554">
        <v>1</v>
      </c>
    </row>
    <row r="555" spans="1:3" x14ac:dyDescent="0.3">
      <c r="A555" s="12">
        <v>46151</v>
      </c>
      <c r="B555" t="s">
        <v>14</v>
      </c>
      <c r="C555">
        <v>0</v>
      </c>
    </row>
    <row r="556" spans="1:3" x14ac:dyDescent="0.3">
      <c r="A556" s="12">
        <v>46152</v>
      </c>
      <c r="B556" t="s">
        <v>14</v>
      </c>
      <c r="C556">
        <v>1</v>
      </c>
    </row>
    <row r="557" spans="1:3" x14ac:dyDescent="0.3">
      <c r="A557" s="12">
        <v>46153</v>
      </c>
      <c r="B557" t="s">
        <v>14</v>
      </c>
      <c r="C557">
        <v>1</v>
      </c>
    </row>
    <row r="558" spans="1:3" x14ac:dyDescent="0.3">
      <c r="A558" s="12">
        <v>46154</v>
      </c>
      <c r="B558" t="s">
        <v>14</v>
      </c>
      <c r="C558">
        <v>1</v>
      </c>
    </row>
    <row r="559" spans="1:3" x14ac:dyDescent="0.3">
      <c r="A559" s="12">
        <v>46155</v>
      </c>
      <c r="B559" t="s">
        <v>14</v>
      </c>
      <c r="C559">
        <v>1</v>
      </c>
    </row>
    <row r="560" spans="1:3" x14ac:dyDescent="0.3">
      <c r="A560" s="12">
        <v>46156</v>
      </c>
      <c r="B560" t="s">
        <v>14</v>
      </c>
      <c r="C560">
        <v>1</v>
      </c>
    </row>
    <row r="561" spans="1:3" x14ac:dyDescent="0.3">
      <c r="A561" s="12">
        <v>46157</v>
      </c>
      <c r="B561" t="s">
        <v>14</v>
      </c>
      <c r="C561">
        <v>1</v>
      </c>
    </row>
    <row r="562" spans="1:3" x14ac:dyDescent="0.3">
      <c r="A562" s="12">
        <v>46158</v>
      </c>
      <c r="B562" t="s">
        <v>14</v>
      </c>
      <c r="C562">
        <v>0</v>
      </c>
    </row>
    <row r="563" spans="1:3" x14ac:dyDescent="0.3">
      <c r="A563" s="12">
        <v>46159</v>
      </c>
      <c r="B563" t="s">
        <v>14</v>
      </c>
      <c r="C563">
        <v>1</v>
      </c>
    </row>
    <row r="564" spans="1:3" x14ac:dyDescent="0.3">
      <c r="A564" s="12">
        <v>46160</v>
      </c>
      <c r="B564" t="s">
        <v>14</v>
      </c>
      <c r="C564">
        <v>1</v>
      </c>
    </row>
    <row r="565" spans="1:3" x14ac:dyDescent="0.3">
      <c r="A565" s="12">
        <v>46161</v>
      </c>
      <c r="B565" t="s">
        <v>14</v>
      </c>
      <c r="C565">
        <v>1</v>
      </c>
    </row>
    <row r="566" spans="1:3" x14ac:dyDescent="0.3">
      <c r="A566" s="12">
        <v>46162</v>
      </c>
      <c r="B566" t="s">
        <v>14</v>
      </c>
      <c r="C566">
        <v>1</v>
      </c>
    </row>
    <row r="567" spans="1:3" x14ac:dyDescent="0.3">
      <c r="A567" s="12">
        <v>46163</v>
      </c>
      <c r="B567" t="s">
        <v>14</v>
      </c>
      <c r="C567">
        <v>1</v>
      </c>
    </row>
    <row r="568" spans="1:3" x14ac:dyDescent="0.3">
      <c r="A568" s="12">
        <v>46164</v>
      </c>
      <c r="B568" t="s">
        <v>14</v>
      </c>
      <c r="C568">
        <v>1</v>
      </c>
    </row>
    <row r="569" spans="1:3" x14ac:dyDescent="0.3">
      <c r="A569" s="12">
        <v>46165</v>
      </c>
      <c r="B569" t="s">
        <v>14</v>
      </c>
      <c r="C569">
        <v>1</v>
      </c>
    </row>
    <row r="570" spans="1:3" x14ac:dyDescent="0.3">
      <c r="A570" s="12">
        <v>46166</v>
      </c>
      <c r="B570" t="s">
        <v>14</v>
      </c>
      <c r="C570">
        <v>0</v>
      </c>
    </row>
    <row r="571" spans="1:3" x14ac:dyDescent="0.3">
      <c r="A571" s="12">
        <v>46167</v>
      </c>
      <c r="B571" t="s">
        <v>14</v>
      </c>
      <c r="C571">
        <v>1</v>
      </c>
    </row>
    <row r="572" spans="1:3" x14ac:dyDescent="0.3">
      <c r="A572" s="12">
        <v>46168</v>
      </c>
      <c r="B572" t="s">
        <v>14</v>
      </c>
      <c r="C572">
        <v>1</v>
      </c>
    </row>
    <row r="573" spans="1:3" x14ac:dyDescent="0.3">
      <c r="A573" s="12">
        <v>46169</v>
      </c>
      <c r="B573" t="s">
        <v>14</v>
      </c>
      <c r="C573">
        <v>1</v>
      </c>
    </row>
    <row r="574" spans="1:3" x14ac:dyDescent="0.3">
      <c r="A574" s="12">
        <v>46170</v>
      </c>
      <c r="B574" t="s">
        <v>14</v>
      </c>
      <c r="C574">
        <v>1</v>
      </c>
    </row>
    <row r="575" spans="1:3" x14ac:dyDescent="0.3">
      <c r="A575" s="12">
        <v>46171</v>
      </c>
      <c r="B575" t="s">
        <v>14</v>
      </c>
      <c r="C575">
        <v>1</v>
      </c>
    </row>
    <row r="576" spans="1:3" x14ac:dyDescent="0.3">
      <c r="A576" s="12">
        <v>46172</v>
      </c>
      <c r="B576" t="s">
        <v>14</v>
      </c>
      <c r="C576">
        <v>1</v>
      </c>
    </row>
    <row r="577" spans="1:3" x14ac:dyDescent="0.3">
      <c r="A577" s="12">
        <v>46173</v>
      </c>
      <c r="B577" t="s">
        <v>14</v>
      </c>
      <c r="C577">
        <v>1</v>
      </c>
    </row>
    <row r="578" spans="1:3" x14ac:dyDescent="0.3">
      <c r="A578" s="12">
        <v>46143</v>
      </c>
      <c r="B578" t="s">
        <v>16</v>
      </c>
      <c r="C578">
        <v>1</v>
      </c>
    </row>
    <row r="579" spans="1:3" x14ac:dyDescent="0.3">
      <c r="A579" s="12">
        <v>46144</v>
      </c>
      <c r="B579" t="s">
        <v>16</v>
      </c>
      <c r="C579">
        <v>1</v>
      </c>
    </row>
    <row r="580" spans="1:3" x14ac:dyDescent="0.3">
      <c r="A580" s="12">
        <v>46145</v>
      </c>
      <c r="B580" t="s">
        <v>16</v>
      </c>
      <c r="C580">
        <v>1</v>
      </c>
    </row>
    <row r="581" spans="1:3" x14ac:dyDescent="0.3">
      <c r="A581" s="12">
        <v>46146</v>
      </c>
      <c r="B581" t="s">
        <v>16</v>
      </c>
      <c r="C581">
        <v>1</v>
      </c>
    </row>
    <row r="582" spans="1:3" x14ac:dyDescent="0.3">
      <c r="A582" s="12">
        <v>46147</v>
      </c>
      <c r="B582" t="s">
        <v>16</v>
      </c>
      <c r="C582">
        <v>0</v>
      </c>
    </row>
    <row r="583" spans="1:3" x14ac:dyDescent="0.3">
      <c r="A583" s="12">
        <v>46148</v>
      </c>
      <c r="B583" t="s">
        <v>16</v>
      </c>
      <c r="C583">
        <v>1</v>
      </c>
    </row>
    <row r="584" spans="1:3" x14ac:dyDescent="0.3">
      <c r="A584" s="12">
        <v>46149</v>
      </c>
      <c r="B584" t="s">
        <v>16</v>
      </c>
      <c r="C584">
        <v>0</v>
      </c>
    </row>
    <row r="585" spans="1:3" x14ac:dyDescent="0.3">
      <c r="A585" s="12">
        <v>46150</v>
      </c>
      <c r="B585" t="s">
        <v>16</v>
      </c>
      <c r="C585">
        <v>1</v>
      </c>
    </row>
    <row r="586" spans="1:3" x14ac:dyDescent="0.3">
      <c r="A586" s="12">
        <v>46151</v>
      </c>
      <c r="B586" t="s">
        <v>16</v>
      </c>
      <c r="C586">
        <v>1</v>
      </c>
    </row>
    <row r="587" spans="1:3" x14ac:dyDescent="0.3">
      <c r="A587" s="12">
        <v>46152</v>
      </c>
      <c r="B587" t="s">
        <v>16</v>
      </c>
      <c r="C587">
        <v>1</v>
      </c>
    </row>
    <row r="588" spans="1:3" x14ac:dyDescent="0.3">
      <c r="A588" s="12">
        <v>46153</v>
      </c>
      <c r="B588" t="s">
        <v>16</v>
      </c>
      <c r="C588">
        <v>1</v>
      </c>
    </row>
    <row r="589" spans="1:3" x14ac:dyDescent="0.3">
      <c r="A589" s="12">
        <v>46154</v>
      </c>
      <c r="B589" t="s">
        <v>16</v>
      </c>
      <c r="C589">
        <v>0</v>
      </c>
    </row>
    <row r="590" spans="1:3" x14ac:dyDescent="0.3">
      <c r="A590" s="12">
        <v>46155</v>
      </c>
      <c r="B590" t="s">
        <v>16</v>
      </c>
      <c r="C590">
        <v>0</v>
      </c>
    </row>
    <row r="591" spans="1:3" x14ac:dyDescent="0.3">
      <c r="A591" s="12">
        <v>46156</v>
      </c>
      <c r="B591" t="s">
        <v>16</v>
      </c>
      <c r="C591">
        <v>1</v>
      </c>
    </row>
    <row r="592" spans="1:3" x14ac:dyDescent="0.3">
      <c r="A592" s="12">
        <v>46157</v>
      </c>
      <c r="B592" t="s">
        <v>16</v>
      </c>
      <c r="C592">
        <v>1</v>
      </c>
    </row>
    <row r="593" spans="1:3" x14ac:dyDescent="0.3">
      <c r="A593" s="12">
        <v>46158</v>
      </c>
      <c r="B593" t="s">
        <v>16</v>
      </c>
      <c r="C593">
        <v>1</v>
      </c>
    </row>
    <row r="594" spans="1:3" x14ac:dyDescent="0.3">
      <c r="A594" s="12">
        <v>46159</v>
      </c>
      <c r="B594" t="s">
        <v>16</v>
      </c>
      <c r="C594">
        <v>1</v>
      </c>
    </row>
    <row r="595" spans="1:3" x14ac:dyDescent="0.3">
      <c r="A595" s="12">
        <v>46160</v>
      </c>
      <c r="B595" t="s">
        <v>16</v>
      </c>
      <c r="C595">
        <v>0</v>
      </c>
    </row>
    <row r="596" spans="1:3" x14ac:dyDescent="0.3">
      <c r="A596" s="12">
        <v>46161</v>
      </c>
      <c r="B596" t="s">
        <v>16</v>
      </c>
      <c r="C596">
        <v>0</v>
      </c>
    </row>
    <row r="597" spans="1:3" x14ac:dyDescent="0.3">
      <c r="A597" s="12">
        <v>46162</v>
      </c>
      <c r="B597" t="s">
        <v>16</v>
      </c>
      <c r="C597">
        <v>1</v>
      </c>
    </row>
    <row r="598" spans="1:3" x14ac:dyDescent="0.3">
      <c r="A598" s="12">
        <v>46163</v>
      </c>
      <c r="B598" t="s">
        <v>16</v>
      </c>
      <c r="C598">
        <v>1</v>
      </c>
    </row>
    <row r="599" spans="1:3" x14ac:dyDescent="0.3">
      <c r="A599" s="12">
        <v>46164</v>
      </c>
      <c r="B599" t="s">
        <v>16</v>
      </c>
      <c r="C599">
        <v>0</v>
      </c>
    </row>
    <row r="600" spans="1:3" x14ac:dyDescent="0.3">
      <c r="A600" s="12">
        <v>46165</v>
      </c>
      <c r="B600" t="s">
        <v>16</v>
      </c>
      <c r="C600">
        <v>1</v>
      </c>
    </row>
    <row r="601" spans="1:3" x14ac:dyDescent="0.3">
      <c r="A601" s="12">
        <v>46166</v>
      </c>
      <c r="B601" t="s">
        <v>16</v>
      </c>
      <c r="C601">
        <v>1</v>
      </c>
    </row>
    <row r="602" spans="1:3" x14ac:dyDescent="0.3">
      <c r="A602" s="12">
        <v>46167</v>
      </c>
      <c r="B602" t="s">
        <v>16</v>
      </c>
      <c r="C602">
        <v>1</v>
      </c>
    </row>
    <row r="603" spans="1:3" x14ac:dyDescent="0.3">
      <c r="A603" s="12">
        <v>46168</v>
      </c>
      <c r="B603" t="s">
        <v>16</v>
      </c>
      <c r="C603">
        <v>0</v>
      </c>
    </row>
    <row r="604" spans="1:3" x14ac:dyDescent="0.3">
      <c r="A604" s="12">
        <v>46169</v>
      </c>
      <c r="B604" t="s">
        <v>16</v>
      </c>
      <c r="C604">
        <v>0</v>
      </c>
    </row>
    <row r="605" spans="1:3" x14ac:dyDescent="0.3">
      <c r="A605" s="12">
        <v>46170</v>
      </c>
      <c r="B605" t="s">
        <v>16</v>
      </c>
      <c r="C605">
        <v>1</v>
      </c>
    </row>
    <row r="606" spans="1:3" x14ac:dyDescent="0.3">
      <c r="A606" s="12">
        <v>46171</v>
      </c>
      <c r="B606" t="s">
        <v>16</v>
      </c>
      <c r="C606">
        <v>0</v>
      </c>
    </row>
    <row r="607" spans="1:3" x14ac:dyDescent="0.3">
      <c r="A607" s="12">
        <v>46172</v>
      </c>
      <c r="B607" t="s">
        <v>16</v>
      </c>
      <c r="C607">
        <v>1</v>
      </c>
    </row>
    <row r="608" spans="1:3" x14ac:dyDescent="0.3">
      <c r="A608" s="12">
        <v>46173</v>
      </c>
      <c r="B608" t="s">
        <v>16</v>
      </c>
      <c r="C608">
        <v>1</v>
      </c>
    </row>
    <row r="609" spans="1:3" x14ac:dyDescent="0.3">
      <c r="A609" s="12">
        <v>46143</v>
      </c>
      <c r="B609" t="s">
        <v>31</v>
      </c>
      <c r="C609">
        <v>1</v>
      </c>
    </row>
    <row r="610" spans="1:3" x14ac:dyDescent="0.3">
      <c r="A610" s="12">
        <v>46144</v>
      </c>
      <c r="B610" t="s">
        <v>31</v>
      </c>
      <c r="C610">
        <v>0</v>
      </c>
    </row>
    <row r="611" spans="1:3" x14ac:dyDescent="0.3">
      <c r="A611" s="12">
        <v>46145</v>
      </c>
      <c r="B611" t="s">
        <v>31</v>
      </c>
      <c r="C611">
        <v>1</v>
      </c>
    </row>
    <row r="612" spans="1:3" x14ac:dyDescent="0.3">
      <c r="A612" s="12">
        <v>46146</v>
      </c>
      <c r="B612" t="s">
        <v>31</v>
      </c>
      <c r="C612">
        <v>1</v>
      </c>
    </row>
    <row r="613" spans="1:3" x14ac:dyDescent="0.3">
      <c r="A613" s="12">
        <v>46147</v>
      </c>
      <c r="B613" t="s">
        <v>31</v>
      </c>
      <c r="C613">
        <v>1</v>
      </c>
    </row>
    <row r="614" spans="1:3" x14ac:dyDescent="0.3">
      <c r="A614" s="12">
        <v>46148</v>
      </c>
      <c r="B614" t="s">
        <v>31</v>
      </c>
      <c r="C614">
        <v>0</v>
      </c>
    </row>
    <row r="615" spans="1:3" x14ac:dyDescent="0.3">
      <c r="A615" s="12">
        <v>46149</v>
      </c>
      <c r="B615" t="s">
        <v>31</v>
      </c>
      <c r="C615">
        <v>1</v>
      </c>
    </row>
    <row r="616" spans="1:3" x14ac:dyDescent="0.3">
      <c r="A616" s="12">
        <v>46150</v>
      </c>
      <c r="B616" t="s">
        <v>31</v>
      </c>
      <c r="C616">
        <v>0</v>
      </c>
    </row>
    <row r="617" spans="1:3" x14ac:dyDescent="0.3">
      <c r="A617" s="12">
        <v>46151</v>
      </c>
      <c r="B617" t="s">
        <v>31</v>
      </c>
      <c r="C617">
        <v>0</v>
      </c>
    </row>
    <row r="618" spans="1:3" x14ac:dyDescent="0.3">
      <c r="A618" s="12">
        <v>46152</v>
      </c>
      <c r="B618" t="s">
        <v>31</v>
      </c>
      <c r="C618">
        <v>1</v>
      </c>
    </row>
    <row r="619" spans="1:3" x14ac:dyDescent="0.3">
      <c r="A619" s="12">
        <v>46153</v>
      </c>
      <c r="B619" t="s">
        <v>31</v>
      </c>
      <c r="C619">
        <v>1</v>
      </c>
    </row>
    <row r="620" spans="1:3" x14ac:dyDescent="0.3">
      <c r="A620" s="12">
        <v>46154</v>
      </c>
      <c r="B620" t="s">
        <v>31</v>
      </c>
      <c r="C620">
        <v>1</v>
      </c>
    </row>
    <row r="621" spans="1:3" x14ac:dyDescent="0.3">
      <c r="A621" s="12">
        <v>46155</v>
      </c>
      <c r="B621" t="s">
        <v>31</v>
      </c>
      <c r="C621">
        <v>0</v>
      </c>
    </row>
    <row r="622" spans="1:3" x14ac:dyDescent="0.3">
      <c r="A622" s="12">
        <v>46156</v>
      </c>
      <c r="B622" t="s">
        <v>31</v>
      </c>
      <c r="C622">
        <v>1</v>
      </c>
    </row>
    <row r="623" spans="1:3" x14ac:dyDescent="0.3">
      <c r="A623" s="12">
        <v>46157</v>
      </c>
      <c r="B623" t="s">
        <v>31</v>
      </c>
      <c r="C623">
        <v>0</v>
      </c>
    </row>
    <row r="624" spans="1:3" x14ac:dyDescent="0.3">
      <c r="A624" s="12">
        <v>46158</v>
      </c>
      <c r="B624" t="s">
        <v>31</v>
      </c>
      <c r="C624">
        <v>0</v>
      </c>
    </row>
    <row r="625" spans="1:3" x14ac:dyDescent="0.3">
      <c r="A625" s="12">
        <v>46159</v>
      </c>
      <c r="B625" t="s">
        <v>31</v>
      </c>
      <c r="C625">
        <v>1</v>
      </c>
    </row>
    <row r="626" spans="1:3" x14ac:dyDescent="0.3">
      <c r="A626" s="12">
        <v>46160</v>
      </c>
      <c r="B626" t="s">
        <v>31</v>
      </c>
      <c r="C626">
        <v>1</v>
      </c>
    </row>
    <row r="627" spans="1:3" x14ac:dyDescent="0.3">
      <c r="A627" s="12">
        <v>46161</v>
      </c>
      <c r="B627" t="s">
        <v>31</v>
      </c>
      <c r="C627">
        <v>1</v>
      </c>
    </row>
    <row r="628" spans="1:3" x14ac:dyDescent="0.3">
      <c r="A628" s="12">
        <v>46162</v>
      </c>
      <c r="B628" t="s">
        <v>31</v>
      </c>
      <c r="C628">
        <v>0</v>
      </c>
    </row>
    <row r="629" spans="1:3" x14ac:dyDescent="0.3">
      <c r="A629" s="12">
        <v>46163</v>
      </c>
      <c r="B629" t="s">
        <v>31</v>
      </c>
      <c r="C629">
        <v>1</v>
      </c>
    </row>
    <row r="630" spans="1:3" x14ac:dyDescent="0.3">
      <c r="A630" s="12">
        <v>46164</v>
      </c>
      <c r="B630" t="s">
        <v>31</v>
      </c>
      <c r="C630">
        <v>1</v>
      </c>
    </row>
    <row r="631" spans="1:3" x14ac:dyDescent="0.3">
      <c r="A631" s="12">
        <v>46165</v>
      </c>
      <c r="B631" t="s">
        <v>31</v>
      </c>
      <c r="C631">
        <v>0</v>
      </c>
    </row>
    <row r="632" spans="1:3" x14ac:dyDescent="0.3">
      <c r="A632" s="12">
        <v>46166</v>
      </c>
      <c r="B632" t="s">
        <v>31</v>
      </c>
      <c r="C632">
        <v>0</v>
      </c>
    </row>
    <row r="633" spans="1:3" x14ac:dyDescent="0.3">
      <c r="A633" s="12">
        <v>46167</v>
      </c>
      <c r="B633" t="s">
        <v>31</v>
      </c>
      <c r="C633">
        <v>1</v>
      </c>
    </row>
    <row r="634" spans="1:3" x14ac:dyDescent="0.3">
      <c r="A634" s="12">
        <v>46168</v>
      </c>
      <c r="B634" t="s">
        <v>31</v>
      </c>
      <c r="C634">
        <v>1</v>
      </c>
    </row>
    <row r="635" spans="1:3" x14ac:dyDescent="0.3">
      <c r="A635" s="12">
        <v>46169</v>
      </c>
      <c r="B635" t="s">
        <v>31</v>
      </c>
      <c r="C635">
        <v>1</v>
      </c>
    </row>
    <row r="636" spans="1:3" x14ac:dyDescent="0.3">
      <c r="A636" s="12">
        <v>46170</v>
      </c>
      <c r="B636" t="s">
        <v>31</v>
      </c>
      <c r="C636">
        <v>0</v>
      </c>
    </row>
    <row r="637" spans="1:3" x14ac:dyDescent="0.3">
      <c r="A637" s="12">
        <v>46171</v>
      </c>
      <c r="B637" t="s">
        <v>31</v>
      </c>
      <c r="C637">
        <v>1</v>
      </c>
    </row>
    <row r="638" spans="1:3" x14ac:dyDescent="0.3">
      <c r="A638" s="12">
        <v>46172</v>
      </c>
      <c r="B638" t="s">
        <v>31</v>
      </c>
      <c r="C638">
        <v>0</v>
      </c>
    </row>
    <row r="639" spans="1:3" x14ac:dyDescent="0.3">
      <c r="A639" s="12">
        <v>46173</v>
      </c>
      <c r="B639" t="s">
        <v>31</v>
      </c>
      <c r="C639">
        <v>0</v>
      </c>
    </row>
    <row r="640" spans="1:3" x14ac:dyDescent="0.3">
      <c r="A640" s="12">
        <v>46143</v>
      </c>
      <c r="B640" t="s">
        <v>32</v>
      </c>
      <c r="C640">
        <v>1</v>
      </c>
    </row>
    <row r="641" spans="1:3" x14ac:dyDescent="0.3">
      <c r="A641" s="12">
        <v>46144</v>
      </c>
      <c r="B641" t="s">
        <v>32</v>
      </c>
      <c r="C641">
        <v>1</v>
      </c>
    </row>
    <row r="642" spans="1:3" x14ac:dyDescent="0.3">
      <c r="A642" s="12">
        <v>46145</v>
      </c>
      <c r="B642" t="s">
        <v>32</v>
      </c>
      <c r="C642">
        <v>0</v>
      </c>
    </row>
    <row r="643" spans="1:3" x14ac:dyDescent="0.3">
      <c r="A643" s="12">
        <v>46146</v>
      </c>
      <c r="B643" t="s">
        <v>32</v>
      </c>
      <c r="C643">
        <v>1</v>
      </c>
    </row>
    <row r="644" spans="1:3" x14ac:dyDescent="0.3">
      <c r="A644" s="12">
        <v>46147</v>
      </c>
      <c r="B644" t="s">
        <v>32</v>
      </c>
      <c r="C644">
        <v>1</v>
      </c>
    </row>
    <row r="645" spans="1:3" x14ac:dyDescent="0.3">
      <c r="A645" s="12">
        <v>46148</v>
      </c>
      <c r="B645" t="s">
        <v>32</v>
      </c>
      <c r="C645">
        <v>1</v>
      </c>
    </row>
    <row r="646" spans="1:3" x14ac:dyDescent="0.3">
      <c r="A646" s="12">
        <v>46149</v>
      </c>
      <c r="B646" t="s">
        <v>32</v>
      </c>
      <c r="C646">
        <v>0</v>
      </c>
    </row>
    <row r="647" spans="1:3" x14ac:dyDescent="0.3">
      <c r="A647" s="12">
        <v>46150</v>
      </c>
      <c r="B647" t="s">
        <v>32</v>
      </c>
      <c r="C647">
        <v>1</v>
      </c>
    </row>
    <row r="648" spans="1:3" x14ac:dyDescent="0.3">
      <c r="A648" s="12">
        <v>46151</v>
      </c>
      <c r="B648" t="s">
        <v>32</v>
      </c>
      <c r="C648">
        <v>1</v>
      </c>
    </row>
    <row r="649" spans="1:3" x14ac:dyDescent="0.3">
      <c r="A649" s="12">
        <v>46152</v>
      </c>
      <c r="B649" t="s">
        <v>32</v>
      </c>
      <c r="C649">
        <v>0</v>
      </c>
    </row>
    <row r="650" spans="1:3" x14ac:dyDescent="0.3">
      <c r="A650" s="12">
        <v>46153</v>
      </c>
      <c r="B650" t="s">
        <v>32</v>
      </c>
      <c r="C650">
        <v>1</v>
      </c>
    </row>
    <row r="651" spans="1:3" x14ac:dyDescent="0.3">
      <c r="A651" s="12">
        <v>46154</v>
      </c>
      <c r="B651" t="s">
        <v>32</v>
      </c>
      <c r="C651">
        <v>1</v>
      </c>
    </row>
    <row r="652" spans="1:3" x14ac:dyDescent="0.3">
      <c r="A652" s="12">
        <v>46155</v>
      </c>
      <c r="B652" t="s">
        <v>32</v>
      </c>
      <c r="C652">
        <v>1</v>
      </c>
    </row>
    <row r="653" spans="1:3" x14ac:dyDescent="0.3">
      <c r="A653" s="12">
        <v>46156</v>
      </c>
      <c r="B653" t="s">
        <v>32</v>
      </c>
      <c r="C653">
        <v>0</v>
      </c>
    </row>
    <row r="654" spans="1:3" x14ac:dyDescent="0.3">
      <c r="A654" s="12">
        <v>46157</v>
      </c>
      <c r="B654" t="s">
        <v>32</v>
      </c>
      <c r="C654">
        <v>1</v>
      </c>
    </row>
    <row r="655" spans="1:3" x14ac:dyDescent="0.3">
      <c r="A655" s="12">
        <v>46158</v>
      </c>
      <c r="B655" t="s">
        <v>32</v>
      </c>
      <c r="C655">
        <v>1</v>
      </c>
    </row>
    <row r="656" spans="1:3" x14ac:dyDescent="0.3">
      <c r="A656" s="12">
        <v>46159</v>
      </c>
      <c r="B656" t="s">
        <v>32</v>
      </c>
      <c r="C656">
        <v>0</v>
      </c>
    </row>
    <row r="657" spans="1:3" x14ac:dyDescent="0.3">
      <c r="A657" s="12">
        <v>46160</v>
      </c>
      <c r="B657" t="s">
        <v>32</v>
      </c>
      <c r="C657">
        <v>1</v>
      </c>
    </row>
    <row r="658" spans="1:3" x14ac:dyDescent="0.3">
      <c r="A658" s="12">
        <v>46161</v>
      </c>
      <c r="B658" t="s">
        <v>32</v>
      </c>
      <c r="C658">
        <v>1</v>
      </c>
    </row>
    <row r="659" spans="1:3" x14ac:dyDescent="0.3">
      <c r="A659" s="12">
        <v>46162</v>
      </c>
      <c r="B659" t="s">
        <v>32</v>
      </c>
      <c r="C659">
        <v>1</v>
      </c>
    </row>
    <row r="660" spans="1:3" x14ac:dyDescent="0.3">
      <c r="A660" s="12">
        <v>46163</v>
      </c>
      <c r="B660" t="s">
        <v>32</v>
      </c>
      <c r="C660">
        <v>0</v>
      </c>
    </row>
    <row r="661" spans="1:3" x14ac:dyDescent="0.3">
      <c r="A661" s="12">
        <v>46164</v>
      </c>
      <c r="B661" t="s">
        <v>32</v>
      </c>
      <c r="C661">
        <v>1</v>
      </c>
    </row>
    <row r="662" spans="1:3" x14ac:dyDescent="0.3">
      <c r="A662" s="12">
        <v>46165</v>
      </c>
      <c r="B662" t="s">
        <v>32</v>
      </c>
      <c r="C662">
        <v>1</v>
      </c>
    </row>
    <row r="663" spans="1:3" x14ac:dyDescent="0.3">
      <c r="A663" s="12">
        <v>46166</v>
      </c>
      <c r="B663" t="s">
        <v>32</v>
      </c>
      <c r="C663">
        <v>1</v>
      </c>
    </row>
    <row r="664" spans="1:3" x14ac:dyDescent="0.3">
      <c r="A664" s="12">
        <v>46167</v>
      </c>
      <c r="B664" t="s">
        <v>32</v>
      </c>
      <c r="C664">
        <v>0</v>
      </c>
    </row>
    <row r="665" spans="1:3" x14ac:dyDescent="0.3">
      <c r="A665" s="12">
        <v>46168</v>
      </c>
      <c r="B665" t="s">
        <v>32</v>
      </c>
      <c r="C665">
        <v>1</v>
      </c>
    </row>
    <row r="666" spans="1:3" x14ac:dyDescent="0.3">
      <c r="A666" s="12">
        <v>46169</v>
      </c>
      <c r="B666" t="s">
        <v>32</v>
      </c>
      <c r="C666">
        <v>1</v>
      </c>
    </row>
    <row r="667" spans="1:3" x14ac:dyDescent="0.3">
      <c r="A667" s="12">
        <v>46170</v>
      </c>
      <c r="B667" t="s">
        <v>32</v>
      </c>
      <c r="C667">
        <v>1</v>
      </c>
    </row>
    <row r="668" spans="1:3" x14ac:dyDescent="0.3">
      <c r="A668" s="12">
        <v>46171</v>
      </c>
      <c r="B668" t="s">
        <v>32</v>
      </c>
      <c r="C668">
        <v>1</v>
      </c>
    </row>
    <row r="669" spans="1:3" x14ac:dyDescent="0.3">
      <c r="A669" s="12">
        <v>46172</v>
      </c>
      <c r="B669" t="s">
        <v>32</v>
      </c>
      <c r="C669">
        <v>1</v>
      </c>
    </row>
    <row r="670" spans="1:3" x14ac:dyDescent="0.3">
      <c r="A670" s="12">
        <v>46173</v>
      </c>
      <c r="B670" t="s">
        <v>32</v>
      </c>
      <c r="C670">
        <v>1</v>
      </c>
    </row>
    <row r="671" spans="1:3" x14ac:dyDescent="0.3">
      <c r="A671" s="12">
        <v>46143</v>
      </c>
      <c r="B671" t="s">
        <v>22</v>
      </c>
      <c r="C671">
        <v>0</v>
      </c>
    </row>
    <row r="672" spans="1:3" x14ac:dyDescent="0.3">
      <c r="A672" s="12">
        <v>46144</v>
      </c>
      <c r="B672" t="s">
        <v>22</v>
      </c>
      <c r="C672">
        <v>0</v>
      </c>
    </row>
    <row r="673" spans="1:3" x14ac:dyDescent="0.3">
      <c r="A673" s="12">
        <v>46145</v>
      </c>
      <c r="B673" t="s">
        <v>22</v>
      </c>
      <c r="C673">
        <v>1</v>
      </c>
    </row>
    <row r="674" spans="1:3" x14ac:dyDescent="0.3">
      <c r="A674" s="12">
        <v>46146</v>
      </c>
      <c r="B674" t="s">
        <v>22</v>
      </c>
      <c r="C674">
        <v>1</v>
      </c>
    </row>
    <row r="675" spans="1:3" x14ac:dyDescent="0.3">
      <c r="A675" s="12">
        <v>46147</v>
      </c>
      <c r="B675" t="s">
        <v>22</v>
      </c>
      <c r="C675">
        <v>1</v>
      </c>
    </row>
    <row r="676" spans="1:3" x14ac:dyDescent="0.3">
      <c r="A676" s="12">
        <v>46148</v>
      </c>
      <c r="B676" t="s">
        <v>22</v>
      </c>
      <c r="C676">
        <v>0</v>
      </c>
    </row>
    <row r="677" spans="1:3" x14ac:dyDescent="0.3">
      <c r="A677" s="12">
        <v>46149</v>
      </c>
      <c r="B677" t="s">
        <v>22</v>
      </c>
      <c r="C677">
        <v>1</v>
      </c>
    </row>
    <row r="678" spans="1:3" x14ac:dyDescent="0.3">
      <c r="A678" s="12">
        <v>46150</v>
      </c>
      <c r="B678" t="s">
        <v>22</v>
      </c>
      <c r="C678">
        <v>0</v>
      </c>
    </row>
    <row r="679" spans="1:3" x14ac:dyDescent="0.3">
      <c r="A679" s="12">
        <v>46151</v>
      </c>
      <c r="B679" t="s">
        <v>22</v>
      </c>
      <c r="C679">
        <v>0</v>
      </c>
    </row>
    <row r="680" spans="1:3" x14ac:dyDescent="0.3">
      <c r="A680" s="12">
        <v>46152</v>
      </c>
      <c r="B680" t="s">
        <v>22</v>
      </c>
      <c r="C680">
        <v>1</v>
      </c>
    </row>
    <row r="681" spans="1:3" x14ac:dyDescent="0.3">
      <c r="A681" s="12">
        <v>46153</v>
      </c>
      <c r="B681" t="s">
        <v>22</v>
      </c>
      <c r="C681">
        <v>1</v>
      </c>
    </row>
    <row r="682" spans="1:3" x14ac:dyDescent="0.3">
      <c r="A682" s="12">
        <v>46154</v>
      </c>
      <c r="B682" t="s">
        <v>22</v>
      </c>
      <c r="C682">
        <v>0</v>
      </c>
    </row>
    <row r="683" spans="1:3" x14ac:dyDescent="0.3">
      <c r="A683" s="12">
        <v>46155</v>
      </c>
      <c r="B683" t="s">
        <v>22</v>
      </c>
      <c r="C683">
        <v>0</v>
      </c>
    </row>
    <row r="684" spans="1:3" x14ac:dyDescent="0.3">
      <c r="A684" s="12">
        <v>46156</v>
      </c>
      <c r="B684" t="s">
        <v>22</v>
      </c>
      <c r="C684">
        <v>1</v>
      </c>
    </row>
    <row r="685" spans="1:3" x14ac:dyDescent="0.3">
      <c r="A685" s="12">
        <v>46157</v>
      </c>
      <c r="B685" t="s">
        <v>22</v>
      </c>
      <c r="C685">
        <v>0</v>
      </c>
    </row>
    <row r="686" spans="1:3" x14ac:dyDescent="0.3">
      <c r="A686" s="12">
        <v>46158</v>
      </c>
      <c r="B686" t="s">
        <v>22</v>
      </c>
      <c r="C686">
        <v>0</v>
      </c>
    </row>
    <row r="687" spans="1:3" x14ac:dyDescent="0.3">
      <c r="A687" s="12">
        <v>46159</v>
      </c>
      <c r="B687" t="s">
        <v>22</v>
      </c>
      <c r="C687">
        <v>1</v>
      </c>
    </row>
    <row r="688" spans="1:3" x14ac:dyDescent="0.3">
      <c r="A688" s="12">
        <v>46160</v>
      </c>
      <c r="B688" t="s">
        <v>22</v>
      </c>
      <c r="C688">
        <v>1</v>
      </c>
    </row>
    <row r="689" spans="1:3" x14ac:dyDescent="0.3">
      <c r="A689" s="12">
        <v>46161</v>
      </c>
      <c r="B689" t="s">
        <v>22</v>
      </c>
      <c r="C689">
        <v>1</v>
      </c>
    </row>
    <row r="690" spans="1:3" x14ac:dyDescent="0.3">
      <c r="A690" s="12">
        <v>46162</v>
      </c>
      <c r="B690" t="s">
        <v>22</v>
      </c>
      <c r="C690">
        <v>0</v>
      </c>
    </row>
    <row r="691" spans="1:3" x14ac:dyDescent="0.3">
      <c r="A691" s="12">
        <v>46163</v>
      </c>
      <c r="B691" t="s">
        <v>22</v>
      </c>
      <c r="C691">
        <v>1</v>
      </c>
    </row>
    <row r="692" spans="1:3" x14ac:dyDescent="0.3">
      <c r="A692" s="12">
        <v>46164</v>
      </c>
      <c r="B692" t="s">
        <v>22</v>
      </c>
      <c r="C692">
        <v>1</v>
      </c>
    </row>
    <row r="693" spans="1:3" x14ac:dyDescent="0.3">
      <c r="A693" s="12">
        <v>46165</v>
      </c>
      <c r="B693" t="s">
        <v>22</v>
      </c>
      <c r="C693">
        <v>0</v>
      </c>
    </row>
    <row r="694" spans="1:3" x14ac:dyDescent="0.3">
      <c r="A694" s="12">
        <v>46166</v>
      </c>
      <c r="B694" t="s">
        <v>22</v>
      </c>
      <c r="C694">
        <v>0</v>
      </c>
    </row>
    <row r="695" spans="1:3" x14ac:dyDescent="0.3">
      <c r="A695" s="12">
        <v>46167</v>
      </c>
      <c r="B695" t="s">
        <v>22</v>
      </c>
      <c r="C695">
        <v>1</v>
      </c>
    </row>
    <row r="696" spans="1:3" x14ac:dyDescent="0.3">
      <c r="A696" s="12">
        <v>46168</v>
      </c>
      <c r="B696" t="s">
        <v>22</v>
      </c>
      <c r="C696">
        <v>1</v>
      </c>
    </row>
    <row r="697" spans="1:3" x14ac:dyDescent="0.3">
      <c r="A697" s="12">
        <v>46169</v>
      </c>
      <c r="B697" t="s">
        <v>22</v>
      </c>
      <c r="C697">
        <v>1</v>
      </c>
    </row>
    <row r="698" spans="1:3" x14ac:dyDescent="0.3">
      <c r="A698" s="12">
        <v>46170</v>
      </c>
      <c r="B698" t="s">
        <v>22</v>
      </c>
      <c r="C698">
        <v>0</v>
      </c>
    </row>
    <row r="699" spans="1:3" x14ac:dyDescent="0.3">
      <c r="A699" s="12">
        <v>46171</v>
      </c>
      <c r="B699" t="s">
        <v>22</v>
      </c>
      <c r="C699">
        <v>1</v>
      </c>
    </row>
    <row r="700" spans="1:3" x14ac:dyDescent="0.3">
      <c r="A700" s="12">
        <v>46172</v>
      </c>
      <c r="B700" t="s">
        <v>22</v>
      </c>
      <c r="C700">
        <v>0</v>
      </c>
    </row>
    <row r="701" spans="1:3" x14ac:dyDescent="0.3">
      <c r="A701" s="12">
        <v>46173</v>
      </c>
      <c r="B701" t="s">
        <v>22</v>
      </c>
      <c r="C701">
        <v>1</v>
      </c>
    </row>
    <row r="702" spans="1:3" x14ac:dyDescent="0.3">
      <c r="A702" s="12">
        <v>46143</v>
      </c>
      <c r="B702" t="s">
        <v>24</v>
      </c>
      <c r="C702">
        <v>1</v>
      </c>
    </row>
    <row r="703" spans="1:3" x14ac:dyDescent="0.3">
      <c r="A703" s="12">
        <v>46144</v>
      </c>
      <c r="B703" t="s">
        <v>24</v>
      </c>
      <c r="C703">
        <v>1</v>
      </c>
    </row>
    <row r="704" spans="1:3" x14ac:dyDescent="0.3">
      <c r="A704" s="12">
        <v>46145</v>
      </c>
      <c r="B704" t="s">
        <v>24</v>
      </c>
      <c r="C704">
        <v>1</v>
      </c>
    </row>
    <row r="705" spans="1:3" x14ac:dyDescent="0.3">
      <c r="A705" s="12">
        <v>46146</v>
      </c>
      <c r="B705" t="s">
        <v>24</v>
      </c>
      <c r="C705">
        <v>0</v>
      </c>
    </row>
    <row r="706" spans="1:3" x14ac:dyDescent="0.3">
      <c r="A706" s="12">
        <v>46147</v>
      </c>
      <c r="B706" t="s">
        <v>24</v>
      </c>
      <c r="C706">
        <v>1</v>
      </c>
    </row>
    <row r="707" spans="1:3" x14ac:dyDescent="0.3">
      <c r="A707" s="12">
        <v>46148</v>
      </c>
      <c r="B707" t="s">
        <v>24</v>
      </c>
      <c r="C707">
        <v>1</v>
      </c>
    </row>
    <row r="708" spans="1:3" x14ac:dyDescent="0.3">
      <c r="A708" s="12">
        <v>46149</v>
      </c>
      <c r="B708" t="s">
        <v>24</v>
      </c>
      <c r="C708">
        <v>0</v>
      </c>
    </row>
    <row r="709" spans="1:3" x14ac:dyDescent="0.3">
      <c r="A709" s="12">
        <v>46150</v>
      </c>
      <c r="B709" t="s">
        <v>24</v>
      </c>
      <c r="C709">
        <v>1</v>
      </c>
    </row>
    <row r="710" spans="1:3" x14ac:dyDescent="0.3">
      <c r="A710" s="12">
        <v>46151</v>
      </c>
      <c r="B710" t="s">
        <v>24</v>
      </c>
      <c r="C710">
        <v>1</v>
      </c>
    </row>
    <row r="711" spans="1:3" x14ac:dyDescent="0.3">
      <c r="A711" s="12">
        <v>46152</v>
      </c>
      <c r="B711" t="s">
        <v>24</v>
      </c>
      <c r="C711">
        <v>1</v>
      </c>
    </row>
    <row r="712" spans="1:3" x14ac:dyDescent="0.3">
      <c r="A712" s="12">
        <v>46153</v>
      </c>
      <c r="B712" t="s">
        <v>24</v>
      </c>
      <c r="C712">
        <v>1</v>
      </c>
    </row>
    <row r="713" spans="1:3" x14ac:dyDescent="0.3">
      <c r="A713" s="12">
        <v>46154</v>
      </c>
      <c r="B713" t="s">
        <v>24</v>
      </c>
      <c r="C713">
        <v>1</v>
      </c>
    </row>
    <row r="714" spans="1:3" x14ac:dyDescent="0.3">
      <c r="A714" s="12">
        <v>46155</v>
      </c>
      <c r="B714" t="s">
        <v>24</v>
      </c>
      <c r="C714">
        <v>1</v>
      </c>
    </row>
    <row r="715" spans="1:3" x14ac:dyDescent="0.3">
      <c r="A715" s="12">
        <v>46156</v>
      </c>
      <c r="B715" t="s">
        <v>24</v>
      </c>
      <c r="C715">
        <v>0</v>
      </c>
    </row>
    <row r="716" spans="1:3" x14ac:dyDescent="0.3">
      <c r="A716" s="12">
        <v>46157</v>
      </c>
      <c r="B716" t="s">
        <v>24</v>
      </c>
      <c r="C716">
        <v>1</v>
      </c>
    </row>
    <row r="717" spans="1:3" x14ac:dyDescent="0.3">
      <c r="A717" s="12">
        <v>46158</v>
      </c>
      <c r="B717" t="s">
        <v>24</v>
      </c>
      <c r="C717">
        <v>1</v>
      </c>
    </row>
    <row r="718" spans="1:3" x14ac:dyDescent="0.3">
      <c r="A718" s="12">
        <v>46159</v>
      </c>
      <c r="B718" t="s">
        <v>24</v>
      </c>
      <c r="C718">
        <v>1</v>
      </c>
    </row>
    <row r="719" spans="1:3" x14ac:dyDescent="0.3">
      <c r="A719" s="12">
        <v>46160</v>
      </c>
      <c r="B719" t="s">
        <v>24</v>
      </c>
      <c r="C719">
        <v>0</v>
      </c>
    </row>
    <row r="720" spans="1:3" x14ac:dyDescent="0.3">
      <c r="A720" s="12">
        <v>46161</v>
      </c>
      <c r="B720" t="s">
        <v>24</v>
      </c>
      <c r="C720">
        <v>1</v>
      </c>
    </row>
    <row r="721" spans="1:3" x14ac:dyDescent="0.3">
      <c r="A721" s="12">
        <v>46162</v>
      </c>
      <c r="B721" t="s">
        <v>24</v>
      </c>
      <c r="C721">
        <v>1</v>
      </c>
    </row>
    <row r="722" spans="1:3" x14ac:dyDescent="0.3">
      <c r="A722" s="12">
        <v>46163</v>
      </c>
      <c r="B722" t="s">
        <v>24</v>
      </c>
      <c r="C722">
        <v>1</v>
      </c>
    </row>
    <row r="723" spans="1:3" x14ac:dyDescent="0.3">
      <c r="A723" s="12">
        <v>46164</v>
      </c>
      <c r="B723" t="s">
        <v>24</v>
      </c>
      <c r="C723">
        <v>1</v>
      </c>
    </row>
    <row r="724" spans="1:3" x14ac:dyDescent="0.3">
      <c r="A724" s="12">
        <v>46165</v>
      </c>
      <c r="B724" t="s">
        <v>24</v>
      </c>
      <c r="C724">
        <v>1</v>
      </c>
    </row>
    <row r="725" spans="1:3" x14ac:dyDescent="0.3">
      <c r="A725" s="12">
        <v>46166</v>
      </c>
      <c r="B725" t="s">
        <v>24</v>
      </c>
      <c r="C725">
        <v>1</v>
      </c>
    </row>
    <row r="726" spans="1:3" x14ac:dyDescent="0.3">
      <c r="A726" s="12">
        <v>46167</v>
      </c>
      <c r="B726" t="s">
        <v>24</v>
      </c>
      <c r="C726">
        <v>1</v>
      </c>
    </row>
    <row r="727" spans="1:3" x14ac:dyDescent="0.3">
      <c r="A727" s="12">
        <v>46168</v>
      </c>
      <c r="B727" t="s">
        <v>24</v>
      </c>
      <c r="C727">
        <v>0</v>
      </c>
    </row>
    <row r="728" spans="1:3" x14ac:dyDescent="0.3">
      <c r="A728" s="12">
        <v>46169</v>
      </c>
      <c r="B728" t="s">
        <v>24</v>
      </c>
      <c r="C728">
        <v>1</v>
      </c>
    </row>
    <row r="729" spans="1:3" x14ac:dyDescent="0.3">
      <c r="A729" s="12">
        <v>46170</v>
      </c>
      <c r="B729" t="s">
        <v>24</v>
      </c>
      <c r="C729">
        <v>1</v>
      </c>
    </row>
    <row r="730" spans="1:3" x14ac:dyDescent="0.3">
      <c r="A730" s="12">
        <v>46171</v>
      </c>
      <c r="B730" t="s">
        <v>24</v>
      </c>
      <c r="C730">
        <v>0</v>
      </c>
    </row>
    <row r="731" spans="1:3" x14ac:dyDescent="0.3">
      <c r="A731" s="12">
        <v>46172</v>
      </c>
      <c r="B731" t="s">
        <v>24</v>
      </c>
      <c r="C731">
        <v>1</v>
      </c>
    </row>
    <row r="732" spans="1:3" x14ac:dyDescent="0.3">
      <c r="A732" s="12">
        <v>46173</v>
      </c>
      <c r="B732" t="s">
        <v>24</v>
      </c>
      <c r="C732">
        <v>1</v>
      </c>
    </row>
    <row r="733" spans="1:3" x14ac:dyDescent="0.3">
      <c r="A733" s="12">
        <v>46143</v>
      </c>
      <c r="B733" t="s">
        <v>25</v>
      </c>
      <c r="C733">
        <v>1</v>
      </c>
    </row>
    <row r="734" spans="1:3" x14ac:dyDescent="0.3">
      <c r="A734" s="12">
        <v>46144</v>
      </c>
      <c r="B734" t="s">
        <v>25</v>
      </c>
      <c r="C734">
        <v>0</v>
      </c>
    </row>
    <row r="735" spans="1:3" x14ac:dyDescent="0.3">
      <c r="A735" s="12">
        <v>46145</v>
      </c>
      <c r="B735" t="s">
        <v>25</v>
      </c>
      <c r="C735">
        <v>0</v>
      </c>
    </row>
    <row r="736" spans="1:3" x14ac:dyDescent="0.3">
      <c r="A736" s="12">
        <v>46146</v>
      </c>
      <c r="B736" t="s">
        <v>25</v>
      </c>
      <c r="C736">
        <v>1</v>
      </c>
    </row>
    <row r="737" spans="1:3" x14ac:dyDescent="0.3">
      <c r="A737" s="12">
        <v>46147</v>
      </c>
      <c r="B737" t="s">
        <v>25</v>
      </c>
      <c r="C737">
        <v>0</v>
      </c>
    </row>
    <row r="738" spans="1:3" x14ac:dyDescent="0.3">
      <c r="A738" s="12">
        <v>46148</v>
      </c>
      <c r="B738" t="s">
        <v>25</v>
      </c>
      <c r="C738">
        <v>1</v>
      </c>
    </row>
    <row r="739" spans="1:3" x14ac:dyDescent="0.3">
      <c r="A739" s="12">
        <v>46149</v>
      </c>
      <c r="B739" t="s">
        <v>25</v>
      </c>
      <c r="C739">
        <v>1</v>
      </c>
    </row>
    <row r="740" spans="1:3" x14ac:dyDescent="0.3">
      <c r="A740" s="12">
        <v>46150</v>
      </c>
      <c r="B740" t="s">
        <v>25</v>
      </c>
      <c r="C740">
        <v>1</v>
      </c>
    </row>
    <row r="741" spans="1:3" x14ac:dyDescent="0.3">
      <c r="A741" s="12">
        <v>46151</v>
      </c>
      <c r="B741" t="s">
        <v>25</v>
      </c>
      <c r="C741">
        <v>0</v>
      </c>
    </row>
    <row r="742" spans="1:3" x14ac:dyDescent="0.3">
      <c r="A742" s="12">
        <v>46152</v>
      </c>
      <c r="B742" t="s">
        <v>25</v>
      </c>
      <c r="C742">
        <v>0</v>
      </c>
    </row>
    <row r="743" spans="1:3" x14ac:dyDescent="0.3">
      <c r="A743" s="12">
        <v>46153</v>
      </c>
      <c r="B743" t="s">
        <v>25</v>
      </c>
      <c r="C743">
        <v>1</v>
      </c>
    </row>
    <row r="744" spans="1:3" x14ac:dyDescent="0.3">
      <c r="A744" s="12">
        <v>46154</v>
      </c>
      <c r="B744" t="s">
        <v>25</v>
      </c>
      <c r="C744">
        <v>0</v>
      </c>
    </row>
    <row r="745" spans="1:3" x14ac:dyDescent="0.3">
      <c r="A745" s="12">
        <v>46155</v>
      </c>
      <c r="B745" t="s">
        <v>25</v>
      </c>
      <c r="C745">
        <v>1</v>
      </c>
    </row>
    <row r="746" spans="1:3" x14ac:dyDescent="0.3">
      <c r="A746" s="12">
        <v>46156</v>
      </c>
      <c r="B746" t="s">
        <v>25</v>
      </c>
      <c r="C746">
        <v>1</v>
      </c>
    </row>
    <row r="747" spans="1:3" x14ac:dyDescent="0.3">
      <c r="A747" s="12">
        <v>46157</v>
      </c>
      <c r="B747" t="s">
        <v>25</v>
      </c>
      <c r="C747">
        <v>1</v>
      </c>
    </row>
    <row r="748" spans="1:3" x14ac:dyDescent="0.3">
      <c r="A748" s="12">
        <v>46158</v>
      </c>
      <c r="B748" t="s">
        <v>25</v>
      </c>
      <c r="C748">
        <v>0</v>
      </c>
    </row>
    <row r="749" spans="1:3" x14ac:dyDescent="0.3">
      <c r="A749" s="12">
        <v>46159</v>
      </c>
      <c r="B749" t="s">
        <v>25</v>
      </c>
      <c r="C749">
        <v>0</v>
      </c>
    </row>
    <row r="750" spans="1:3" x14ac:dyDescent="0.3">
      <c r="A750" s="12">
        <v>46160</v>
      </c>
      <c r="B750" t="s">
        <v>25</v>
      </c>
      <c r="C750">
        <v>1</v>
      </c>
    </row>
    <row r="751" spans="1:3" x14ac:dyDescent="0.3">
      <c r="A751" s="12">
        <v>46161</v>
      </c>
      <c r="B751" t="s">
        <v>25</v>
      </c>
      <c r="C751">
        <v>0</v>
      </c>
    </row>
    <row r="752" spans="1:3" x14ac:dyDescent="0.3">
      <c r="A752" s="12">
        <v>46162</v>
      </c>
      <c r="B752" t="s">
        <v>25</v>
      </c>
      <c r="C752">
        <v>1</v>
      </c>
    </row>
    <row r="753" spans="1:3" x14ac:dyDescent="0.3">
      <c r="A753" s="12">
        <v>46163</v>
      </c>
      <c r="B753" t="s">
        <v>25</v>
      </c>
      <c r="C753">
        <v>1</v>
      </c>
    </row>
    <row r="754" spans="1:3" x14ac:dyDescent="0.3">
      <c r="A754" s="12">
        <v>46164</v>
      </c>
      <c r="B754" t="s">
        <v>25</v>
      </c>
      <c r="C754">
        <v>0</v>
      </c>
    </row>
    <row r="755" spans="1:3" x14ac:dyDescent="0.3">
      <c r="A755" s="12">
        <v>46165</v>
      </c>
      <c r="B755" t="s">
        <v>25</v>
      </c>
      <c r="C755">
        <v>1</v>
      </c>
    </row>
    <row r="756" spans="1:3" x14ac:dyDescent="0.3">
      <c r="A756" s="12">
        <v>46166</v>
      </c>
      <c r="B756" t="s">
        <v>25</v>
      </c>
      <c r="C756">
        <v>0</v>
      </c>
    </row>
    <row r="757" spans="1:3" x14ac:dyDescent="0.3">
      <c r="A757" s="12">
        <v>46167</v>
      </c>
      <c r="B757" t="s">
        <v>25</v>
      </c>
      <c r="C757">
        <v>0</v>
      </c>
    </row>
    <row r="758" spans="1:3" x14ac:dyDescent="0.3">
      <c r="A758" s="12">
        <v>46168</v>
      </c>
      <c r="B758" t="s">
        <v>25</v>
      </c>
      <c r="C758">
        <v>1</v>
      </c>
    </row>
    <row r="759" spans="1:3" x14ac:dyDescent="0.3">
      <c r="A759" s="12">
        <v>46169</v>
      </c>
      <c r="B759" t="s">
        <v>25</v>
      </c>
      <c r="C759">
        <v>0</v>
      </c>
    </row>
    <row r="760" spans="1:3" x14ac:dyDescent="0.3">
      <c r="A760" s="12">
        <v>46170</v>
      </c>
      <c r="B760" t="s">
        <v>25</v>
      </c>
      <c r="C760">
        <v>1</v>
      </c>
    </row>
    <row r="761" spans="1:3" x14ac:dyDescent="0.3">
      <c r="A761" s="12">
        <v>46171</v>
      </c>
      <c r="B761" t="s">
        <v>25</v>
      </c>
      <c r="C761">
        <v>1</v>
      </c>
    </row>
    <row r="762" spans="1:3" x14ac:dyDescent="0.3">
      <c r="A762" s="12">
        <v>46172</v>
      </c>
      <c r="B762" t="s">
        <v>25</v>
      </c>
      <c r="C762">
        <v>1</v>
      </c>
    </row>
    <row r="763" spans="1:3" x14ac:dyDescent="0.3">
      <c r="A763" s="12">
        <v>46173</v>
      </c>
      <c r="B763" t="s">
        <v>25</v>
      </c>
      <c r="C763">
        <v>1</v>
      </c>
    </row>
    <row r="764" spans="1:3" x14ac:dyDescent="0.3">
      <c r="A764" s="12">
        <v>46143</v>
      </c>
      <c r="B764" t="s">
        <v>33</v>
      </c>
      <c r="C764">
        <v>1</v>
      </c>
    </row>
    <row r="765" spans="1:3" x14ac:dyDescent="0.3">
      <c r="A765" s="12">
        <v>46144</v>
      </c>
      <c r="B765" t="s">
        <v>33</v>
      </c>
      <c r="C765">
        <v>1</v>
      </c>
    </row>
    <row r="766" spans="1:3" x14ac:dyDescent="0.3">
      <c r="A766" s="12">
        <v>46145</v>
      </c>
      <c r="B766" t="s">
        <v>33</v>
      </c>
      <c r="C766">
        <v>1</v>
      </c>
    </row>
    <row r="767" spans="1:3" x14ac:dyDescent="0.3">
      <c r="A767" s="12">
        <v>46146</v>
      </c>
      <c r="B767" t="s">
        <v>33</v>
      </c>
      <c r="C767">
        <v>1</v>
      </c>
    </row>
    <row r="768" spans="1:3" x14ac:dyDescent="0.3">
      <c r="A768" s="12">
        <v>46147</v>
      </c>
      <c r="B768" t="s">
        <v>33</v>
      </c>
      <c r="C768">
        <v>1</v>
      </c>
    </row>
    <row r="769" spans="1:3" x14ac:dyDescent="0.3">
      <c r="A769" s="12">
        <v>46148</v>
      </c>
      <c r="B769" t="s">
        <v>33</v>
      </c>
      <c r="C769">
        <v>1</v>
      </c>
    </row>
    <row r="770" spans="1:3" x14ac:dyDescent="0.3">
      <c r="A770" s="12">
        <v>46149</v>
      </c>
      <c r="B770" t="s">
        <v>33</v>
      </c>
      <c r="C770">
        <v>1</v>
      </c>
    </row>
    <row r="771" spans="1:3" x14ac:dyDescent="0.3">
      <c r="A771" s="12">
        <v>46150</v>
      </c>
      <c r="B771" t="s">
        <v>33</v>
      </c>
      <c r="C771">
        <v>1</v>
      </c>
    </row>
    <row r="772" spans="1:3" x14ac:dyDescent="0.3">
      <c r="A772" s="12">
        <v>46151</v>
      </c>
      <c r="B772" t="s">
        <v>33</v>
      </c>
      <c r="C772">
        <v>0</v>
      </c>
    </row>
    <row r="773" spans="1:3" x14ac:dyDescent="0.3">
      <c r="A773" s="12">
        <v>46152</v>
      </c>
      <c r="B773" t="s">
        <v>33</v>
      </c>
      <c r="C773">
        <v>1</v>
      </c>
    </row>
    <row r="774" spans="1:3" x14ac:dyDescent="0.3">
      <c r="A774" s="12">
        <v>46153</v>
      </c>
      <c r="B774" t="s">
        <v>33</v>
      </c>
      <c r="C774">
        <v>1</v>
      </c>
    </row>
    <row r="775" spans="1:3" x14ac:dyDescent="0.3">
      <c r="A775" s="12">
        <v>46154</v>
      </c>
      <c r="B775" t="s">
        <v>33</v>
      </c>
      <c r="C775">
        <v>1</v>
      </c>
    </row>
    <row r="776" spans="1:3" x14ac:dyDescent="0.3">
      <c r="A776" s="12">
        <v>46155</v>
      </c>
      <c r="B776" t="s">
        <v>33</v>
      </c>
      <c r="C776">
        <v>1</v>
      </c>
    </row>
    <row r="777" spans="1:3" x14ac:dyDescent="0.3">
      <c r="A777" s="12">
        <v>46156</v>
      </c>
      <c r="B777" t="s">
        <v>33</v>
      </c>
      <c r="C777">
        <v>1</v>
      </c>
    </row>
    <row r="778" spans="1:3" x14ac:dyDescent="0.3">
      <c r="A778" s="12">
        <v>46157</v>
      </c>
      <c r="B778" t="s">
        <v>33</v>
      </c>
      <c r="C778">
        <v>1</v>
      </c>
    </row>
    <row r="779" spans="1:3" x14ac:dyDescent="0.3">
      <c r="A779" s="12">
        <v>46158</v>
      </c>
      <c r="B779" t="s">
        <v>33</v>
      </c>
      <c r="C779">
        <v>1</v>
      </c>
    </row>
    <row r="780" spans="1:3" x14ac:dyDescent="0.3">
      <c r="A780" s="12">
        <v>46159</v>
      </c>
      <c r="B780" t="s">
        <v>33</v>
      </c>
      <c r="C780">
        <v>1</v>
      </c>
    </row>
    <row r="781" spans="1:3" x14ac:dyDescent="0.3">
      <c r="A781" s="12">
        <v>46160</v>
      </c>
      <c r="B781" t="s">
        <v>33</v>
      </c>
      <c r="C781">
        <v>1</v>
      </c>
    </row>
    <row r="782" spans="1:3" x14ac:dyDescent="0.3">
      <c r="A782" s="12">
        <v>46161</v>
      </c>
      <c r="B782" t="s">
        <v>33</v>
      </c>
      <c r="C782">
        <v>1</v>
      </c>
    </row>
    <row r="783" spans="1:3" x14ac:dyDescent="0.3">
      <c r="A783" s="12">
        <v>46162</v>
      </c>
      <c r="B783" t="s">
        <v>33</v>
      </c>
      <c r="C783">
        <v>1</v>
      </c>
    </row>
    <row r="784" spans="1:3" x14ac:dyDescent="0.3">
      <c r="A784" s="12">
        <v>46163</v>
      </c>
      <c r="B784" t="s">
        <v>33</v>
      </c>
      <c r="C784">
        <v>0</v>
      </c>
    </row>
    <row r="785" spans="1:3" x14ac:dyDescent="0.3">
      <c r="A785" s="12">
        <v>46164</v>
      </c>
      <c r="B785" t="s">
        <v>33</v>
      </c>
      <c r="C785">
        <v>1</v>
      </c>
    </row>
    <row r="786" spans="1:3" x14ac:dyDescent="0.3">
      <c r="A786" s="12">
        <v>46165</v>
      </c>
      <c r="B786" t="s">
        <v>33</v>
      </c>
      <c r="C786">
        <v>1</v>
      </c>
    </row>
    <row r="787" spans="1:3" x14ac:dyDescent="0.3">
      <c r="A787" s="12">
        <v>46166</v>
      </c>
      <c r="B787" t="s">
        <v>33</v>
      </c>
      <c r="C787">
        <v>1</v>
      </c>
    </row>
    <row r="788" spans="1:3" x14ac:dyDescent="0.3">
      <c r="A788" s="12">
        <v>46167</v>
      </c>
      <c r="B788" t="s">
        <v>33</v>
      </c>
      <c r="C788">
        <v>1</v>
      </c>
    </row>
    <row r="789" spans="1:3" x14ac:dyDescent="0.3">
      <c r="A789" s="12">
        <v>46168</v>
      </c>
      <c r="B789" t="s">
        <v>33</v>
      </c>
      <c r="C789">
        <v>1</v>
      </c>
    </row>
    <row r="790" spans="1:3" x14ac:dyDescent="0.3">
      <c r="A790" s="12">
        <v>46169</v>
      </c>
      <c r="B790" t="s">
        <v>33</v>
      </c>
      <c r="C790">
        <v>1</v>
      </c>
    </row>
    <row r="791" spans="1:3" x14ac:dyDescent="0.3">
      <c r="A791" s="12">
        <v>46170</v>
      </c>
      <c r="B791" t="s">
        <v>33</v>
      </c>
      <c r="C791">
        <v>1</v>
      </c>
    </row>
    <row r="792" spans="1:3" x14ac:dyDescent="0.3">
      <c r="A792" s="12">
        <v>46171</v>
      </c>
      <c r="B792" t="s">
        <v>33</v>
      </c>
      <c r="C792">
        <v>0</v>
      </c>
    </row>
    <row r="793" spans="1:3" x14ac:dyDescent="0.3">
      <c r="A793" s="12">
        <v>46172</v>
      </c>
      <c r="B793" t="s">
        <v>33</v>
      </c>
      <c r="C793">
        <v>1</v>
      </c>
    </row>
    <row r="794" spans="1:3" x14ac:dyDescent="0.3">
      <c r="A794" s="12">
        <v>46173</v>
      </c>
      <c r="B794" t="s">
        <v>33</v>
      </c>
      <c r="C79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F6D63-172A-4BD0-96C9-E4EEBF238CAC}">
  <sheetPr codeName="Sheet4"/>
  <dimension ref="A1:V32"/>
  <sheetViews>
    <sheetView zoomScale="85" zoomScaleNormal="85" workbookViewId="0">
      <selection activeCell="K21" sqref="K21"/>
    </sheetView>
  </sheetViews>
  <sheetFormatPr defaultRowHeight="14.4" x14ac:dyDescent="0.3"/>
  <cols>
    <col min="1" max="1" width="20.33203125" bestFit="1" customWidth="1"/>
    <col min="2" max="2" width="10.5546875" bestFit="1" customWidth="1"/>
    <col min="4" max="4" width="12" customWidth="1"/>
    <col min="5" max="5" width="10.5546875" bestFit="1" customWidth="1"/>
    <col min="6" max="6" width="11" bestFit="1" customWidth="1"/>
    <col min="8" max="8" width="11.6640625" bestFit="1" customWidth="1"/>
    <col min="9" max="9" width="8.33203125" customWidth="1"/>
    <col min="10" max="10" width="12.44140625" customWidth="1"/>
    <col min="11" max="11" width="10.5546875" bestFit="1" customWidth="1"/>
    <col min="12" max="12" width="10.44140625" customWidth="1"/>
    <col min="13" max="13" width="17.33203125" bestFit="1" customWidth="1"/>
    <col min="14" max="14" width="12.6640625" bestFit="1" customWidth="1"/>
    <col min="15" max="15" width="11.6640625" bestFit="1" customWidth="1"/>
    <col min="16" max="16" width="14.6640625" bestFit="1" customWidth="1"/>
    <col min="17" max="17" width="10.5546875" bestFit="1" customWidth="1"/>
    <col min="19" max="19" width="20.109375" bestFit="1" customWidth="1"/>
    <col min="20" max="20" width="11.33203125" customWidth="1"/>
    <col min="21" max="21" width="11.44140625" customWidth="1"/>
  </cols>
  <sheetData>
    <row r="1" spans="1:22" ht="17.399999999999999" customHeight="1" x14ac:dyDescent="0.3">
      <c r="A1" s="19" t="s">
        <v>34</v>
      </c>
      <c r="B1" s="20">
        <f>DATEVALUE("1-"&amp;Setup!B3&amp;Setup!B2)</f>
        <v>46143</v>
      </c>
      <c r="C1" s="21"/>
      <c r="D1" s="22" t="s">
        <v>27</v>
      </c>
      <c r="E1" s="22" t="s">
        <v>35</v>
      </c>
      <c r="F1" s="22" t="s">
        <v>42</v>
      </c>
      <c r="G1" s="23" t="s">
        <v>36</v>
      </c>
      <c r="H1" s="19" t="s">
        <v>37</v>
      </c>
      <c r="I1" s="19"/>
      <c r="J1" s="24" t="s">
        <v>38</v>
      </c>
      <c r="K1" s="24" t="s">
        <v>34</v>
      </c>
      <c r="L1" s="24" t="s">
        <v>39</v>
      </c>
      <c r="M1" s="24" t="s">
        <v>40</v>
      </c>
      <c r="N1" s="24" t="s">
        <v>36</v>
      </c>
      <c r="O1" s="19" t="s">
        <v>37</v>
      </c>
      <c r="P1" s="19" t="s">
        <v>41</v>
      </c>
      <c r="Q1" s="19" t="s">
        <v>42</v>
      </c>
      <c r="S1" s="22" t="s">
        <v>43</v>
      </c>
      <c r="T1" s="22" t="s">
        <v>35</v>
      </c>
      <c r="U1" s="22" t="s">
        <v>44</v>
      </c>
      <c r="V1" s="22" t="s">
        <v>36</v>
      </c>
    </row>
    <row r="2" spans="1:22" x14ac:dyDescent="0.3">
      <c r="A2" s="16" t="s">
        <v>45</v>
      </c>
      <c r="B2" s="14">
        <f>EOMONTH(B1,0)</f>
        <v>46173</v>
      </c>
      <c r="D2" s="14">
        <f>$B$1</f>
        <v>46143</v>
      </c>
      <c r="E2">
        <f>SUMIFS(Database!$C:$C,Database!$A:$A,D2)</f>
        <v>12</v>
      </c>
      <c r="F2">
        <f>$B$6-E2</f>
        <v>1</v>
      </c>
      <c r="G2" s="15">
        <f>E2/COUNTA(Setup!$A$4:$A$16)</f>
        <v>0.92307692307692313</v>
      </c>
      <c r="H2" s="15">
        <f>1-G2</f>
        <v>7.6923076923076872E-2</v>
      </c>
      <c r="J2" t="s">
        <v>46</v>
      </c>
      <c r="K2" s="14">
        <f>$B$1</f>
        <v>46143</v>
      </c>
      <c r="L2" s="14">
        <f>MIN(K2+6,$B$2)</f>
        <v>46149</v>
      </c>
      <c r="M2">
        <f>SUMIFS(Database!$C:$C,
        Database!$A:$A,"&gt;="&amp;K2,
        Database!$A:$A,"&lt;="&amp;L2)</f>
        <v>70</v>
      </c>
      <c r="N2" s="15">
        <f>M2/P2</f>
        <v>0.76923076923076927</v>
      </c>
      <c r="O2" s="15">
        <f>1-N2</f>
        <v>0.23076923076923073</v>
      </c>
      <c r="P2">
        <f>(L2-K2+1)*$B$6</f>
        <v>91</v>
      </c>
      <c r="Q2">
        <f>P2-M2</f>
        <v>21</v>
      </c>
      <c r="S2" t="str">
        <f>Setup!A4</f>
        <v>Going to GYM</v>
      </c>
      <c r="T2">
        <f>SUM(Monthly_log!B4:AF4)</f>
        <v>27</v>
      </c>
      <c r="U2">
        <f>$B$2-$B$1+1</f>
        <v>31</v>
      </c>
      <c r="V2" s="15">
        <f>T2/U2</f>
        <v>0.87096774193548387</v>
      </c>
    </row>
    <row r="3" spans="1:22" x14ac:dyDescent="0.3">
      <c r="A3" s="16"/>
      <c r="D3" s="14">
        <f>IF(D2+1&gt;$B$2,"",D2+1)</f>
        <v>46144</v>
      </c>
      <c r="E3">
        <f>SUMIFS(Database!$C:$C,Database!$A:$A,D3)</f>
        <v>9</v>
      </c>
      <c r="F3">
        <f t="shared" ref="F3:F32" si="0">$B$6-E3</f>
        <v>4</v>
      </c>
      <c r="G3" s="15">
        <f>E3/COUNTA(Setup!$A$4:$A$16)</f>
        <v>0.69230769230769229</v>
      </c>
      <c r="H3" s="15">
        <f t="shared" ref="H3:H32" si="1">1-G3</f>
        <v>0.30769230769230771</v>
      </c>
      <c r="J3" t="s">
        <v>47</v>
      </c>
      <c r="K3" s="14">
        <f>K2+7</f>
        <v>46150</v>
      </c>
      <c r="L3" s="14">
        <f t="shared" ref="L3:L6" si="2">MIN(K3+6,$B$2)</f>
        <v>46156</v>
      </c>
      <c r="M3">
        <f>SUMIFS(Database!$C:$C,
        Database!$A:$A,"&gt;="&amp;K3,
        Database!$A:$A,"&lt;="&amp;L3)</f>
        <v>63</v>
      </c>
      <c r="N3" s="15">
        <f t="shared" ref="N3:N6" si="3">M3/P3</f>
        <v>0.69230769230769229</v>
      </c>
      <c r="O3" s="15">
        <f t="shared" ref="O3:O6" si="4">1-N3</f>
        <v>0.30769230769230771</v>
      </c>
      <c r="P3">
        <f t="shared" ref="P3:P6" si="5">(L3-K3+1)*$B$6</f>
        <v>91</v>
      </c>
      <c r="Q3">
        <f t="shared" ref="Q3:Q6" si="6">P3-M3</f>
        <v>28</v>
      </c>
      <c r="S3" t="str">
        <f>Setup!A5</f>
        <v>Protein Breakfast</v>
      </c>
      <c r="T3">
        <f>SUM(Monthly_log!B5:AF5)</f>
        <v>21</v>
      </c>
      <c r="U3">
        <f t="shared" ref="U3:U14" si="7">$B$2-$B$1+1</f>
        <v>31</v>
      </c>
      <c r="V3" s="15">
        <f t="shared" ref="V3:V14" si="8">T3/U3</f>
        <v>0.67741935483870963</v>
      </c>
    </row>
    <row r="4" spans="1:22" x14ac:dyDescent="0.3">
      <c r="A4" s="16" t="s">
        <v>48</v>
      </c>
      <c r="B4">
        <f>SUMIFS(Database!$C:$C,
        Database!$A:$A,"&gt;="&amp;$B$1,
        Database!$A:$A,"&lt;="&amp;$B$2)</f>
        <v>293</v>
      </c>
      <c r="D4" s="14">
        <f t="shared" ref="D4:D32" si="9">IF(D3+1&gt;$B$2,"",D3+1)</f>
        <v>46145</v>
      </c>
      <c r="E4">
        <f>SUMIFS(Database!$C:$C,Database!$A:$A,D4)</f>
        <v>10</v>
      </c>
      <c r="F4">
        <f t="shared" si="0"/>
        <v>3</v>
      </c>
      <c r="G4" s="15">
        <f>E4/COUNTA(Setup!$A$4:$A$16)</f>
        <v>0.76923076923076927</v>
      </c>
      <c r="H4" s="15">
        <f t="shared" si="1"/>
        <v>0.23076923076923073</v>
      </c>
      <c r="J4" t="s">
        <v>49</v>
      </c>
      <c r="K4" s="14">
        <f t="shared" ref="K4:K6" si="10">K3+7</f>
        <v>46157</v>
      </c>
      <c r="L4" s="14">
        <f t="shared" si="2"/>
        <v>46163</v>
      </c>
      <c r="M4">
        <f>SUMIFS(Database!$C:$C,
        Database!$A:$A,"&gt;="&amp;K4,
        Database!$A:$A,"&lt;="&amp;L4)</f>
        <v>66</v>
      </c>
      <c r="N4" s="15">
        <f t="shared" si="3"/>
        <v>0.72527472527472525</v>
      </c>
      <c r="O4" s="15">
        <f t="shared" si="4"/>
        <v>0.27472527472527475</v>
      </c>
      <c r="P4">
        <f t="shared" si="5"/>
        <v>91</v>
      </c>
      <c r="Q4">
        <f t="shared" si="6"/>
        <v>25</v>
      </c>
      <c r="S4" t="str">
        <f>Setup!A6</f>
        <v xml:space="preserve">AM Skincare </v>
      </c>
      <c r="T4">
        <f>SUM(Monthly_log!B6:AF6)</f>
        <v>25</v>
      </c>
      <c r="U4">
        <f t="shared" si="7"/>
        <v>31</v>
      </c>
      <c r="V4" s="15">
        <f t="shared" si="8"/>
        <v>0.80645161290322576</v>
      </c>
    </row>
    <row r="5" spans="1:22" x14ac:dyDescent="0.3">
      <c r="A5" s="16"/>
      <c r="D5" s="14">
        <f t="shared" si="9"/>
        <v>46146</v>
      </c>
      <c r="E5">
        <f>SUMIFS(Database!$C:$C,Database!$A:$A,D5)</f>
        <v>11</v>
      </c>
      <c r="F5">
        <f t="shared" si="0"/>
        <v>2</v>
      </c>
      <c r="G5" s="15">
        <f>E5/COUNTA(Setup!$A$4:$A$16)</f>
        <v>0.84615384615384615</v>
      </c>
      <c r="H5" s="15">
        <f t="shared" si="1"/>
        <v>0.15384615384615385</v>
      </c>
      <c r="J5" t="s">
        <v>50</v>
      </c>
      <c r="K5" s="14">
        <f>K4+7</f>
        <v>46164</v>
      </c>
      <c r="L5" s="14">
        <f t="shared" si="2"/>
        <v>46170</v>
      </c>
      <c r="M5">
        <f>SUMIFS(Database!$C:$C,
        Database!$A:$A,"&gt;="&amp;K5,
        Database!$A:$A,"&lt;="&amp;L5)</f>
        <v>64</v>
      </c>
      <c r="N5" s="15">
        <f t="shared" si="3"/>
        <v>0.70329670329670335</v>
      </c>
      <c r="O5" s="15">
        <f t="shared" si="4"/>
        <v>0.29670329670329665</v>
      </c>
      <c r="P5">
        <f t="shared" si="5"/>
        <v>91</v>
      </c>
      <c r="Q5">
        <f t="shared" si="6"/>
        <v>27</v>
      </c>
      <c r="S5" t="str">
        <f>Setup!A7</f>
        <v>Clg or Side Hustle</v>
      </c>
      <c r="T5">
        <f>SUM(Monthly_log!B7:AF7)</f>
        <v>15</v>
      </c>
      <c r="U5">
        <f t="shared" si="7"/>
        <v>31</v>
      </c>
      <c r="V5" s="15">
        <f t="shared" si="8"/>
        <v>0.4838709677419355</v>
      </c>
    </row>
    <row r="6" spans="1:22" x14ac:dyDescent="0.3">
      <c r="A6" s="16" t="s">
        <v>51</v>
      </c>
      <c r="B6">
        <f>COUNTA(Setup!A4:A16)</f>
        <v>13</v>
      </c>
      <c r="D6" s="14">
        <f t="shared" si="9"/>
        <v>46147</v>
      </c>
      <c r="E6">
        <f>SUMIFS(Database!$C:$C,Database!$A:$A,D6)</f>
        <v>9</v>
      </c>
      <c r="F6">
        <f t="shared" si="0"/>
        <v>4</v>
      </c>
      <c r="G6" s="15">
        <f>E6/COUNTA(Setup!$A$4:$A$16)</f>
        <v>0.69230769230769229</v>
      </c>
      <c r="H6" s="15">
        <f t="shared" si="1"/>
        <v>0.30769230769230771</v>
      </c>
      <c r="J6" t="s">
        <v>52</v>
      </c>
      <c r="K6" s="14">
        <f t="shared" si="10"/>
        <v>46171</v>
      </c>
      <c r="L6" s="14">
        <f t="shared" si="2"/>
        <v>46173</v>
      </c>
      <c r="M6">
        <f>SUMIFS(Database!$C:$C,
        Database!$A:$A,"&gt;="&amp;K6,
        Database!$A:$A,"&lt;="&amp;L6)</f>
        <v>30</v>
      </c>
      <c r="N6" s="15">
        <f t="shared" si="3"/>
        <v>0.76923076923076927</v>
      </c>
      <c r="O6" s="15">
        <f t="shared" si="4"/>
        <v>0.23076923076923073</v>
      </c>
      <c r="P6">
        <f t="shared" si="5"/>
        <v>39</v>
      </c>
      <c r="Q6">
        <f t="shared" si="6"/>
        <v>9</v>
      </c>
      <c r="S6" t="str">
        <f>Setup!A8</f>
        <v>Certification Course</v>
      </c>
      <c r="T6">
        <f>SUM(Monthly_log!B8:AF8)</f>
        <v>27</v>
      </c>
      <c r="U6">
        <f t="shared" si="7"/>
        <v>31</v>
      </c>
      <c r="V6" s="15">
        <f t="shared" si="8"/>
        <v>0.87096774193548387</v>
      </c>
    </row>
    <row r="7" spans="1:22" x14ac:dyDescent="0.3">
      <c r="A7" s="16"/>
      <c r="D7" s="14">
        <f t="shared" si="9"/>
        <v>46148</v>
      </c>
      <c r="E7">
        <f>SUMIFS(Database!$C:$C,Database!$A:$A,D7)</f>
        <v>10</v>
      </c>
      <c r="F7">
        <f t="shared" si="0"/>
        <v>3</v>
      </c>
      <c r="G7" s="15">
        <f>E7/COUNTA(Setup!$A$4:$A$16)</f>
        <v>0.76923076923076927</v>
      </c>
      <c r="H7" s="15">
        <f t="shared" si="1"/>
        <v>0.23076923076923073</v>
      </c>
      <c r="S7" t="str">
        <f>Setup!A9</f>
        <v>Study or Journal</v>
      </c>
      <c r="T7">
        <f>SUM(Monthly_log!B9:AF9)</f>
        <v>27</v>
      </c>
      <c r="U7">
        <f t="shared" si="7"/>
        <v>31</v>
      </c>
      <c r="V7" s="15">
        <f t="shared" si="8"/>
        <v>0.87096774193548387</v>
      </c>
    </row>
    <row r="8" spans="1:22" x14ac:dyDescent="0.3">
      <c r="A8" s="16" t="s">
        <v>53</v>
      </c>
      <c r="B8">
        <f>SUM(E2:E32)</f>
        <v>293</v>
      </c>
      <c r="D8" s="14">
        <f t="shared" si="9"/>
        <v>46149</v>
      </c>
      <c r="E8">
        <f>SUMIFS(Database!$C:$C,Database!$A:$A,D8)</f>
        <v>9</v>
      </c>
      <c r="F8">
        <f t="shared" si="0"/>
        <v>4</v>
      </c>
      <c r="G8" s="15">
        <f>E8/COUNTA(Setup!$A$4:$A$16)</f>
        <v>0.69230769230769229</v>
      </c>
      <c r="H8" s="15">
        <f t="shared" si="1"/>
        <v>0.30769230769230771</v>
      </c>
      <c r="S8" t="str">
        <f>Setup!A10</f>
        <v>Drink 3L water</v>
      </c>
      <c r="T8">
        <f>SUM(Monthly_log!B10:AF10)</f>
        <v>21</v>
      </c>
      <c r="U8">
        <f t="shared" si="7"/>
        <v>31</v>
      </c>
      <c r="V8" s="15">
        <f t="shared" si="8"/>
        <v>0.67741935483870963</v>
      </c>
    </row>
    <row r="9" spans="1:22" x14ac:dyDescent="0.3">
      <c r="A9" s="16" t="s">
        <v>54</v>
      </c>
      <c r="B9" s="17">
        <f>($B$2-$B$1+1)*$B$6</f>
        <v>403</v>
      </c>
      <c r="D9" s="14">
        <f t="shared" si="9"/>
        <v>46150</v>
      </c>
      <c r="E9">
        <f>SUMIFS(Database!$C:$C,Database!$A:$A,D9)</f>
        <v>8</v>
      </c>
      <c r="F9">
        <f t="shared" si="0"/>
        <v>5</v>
      </c>
      <c r="G9" s="15">
        <f>E9/COUNTA(Setup!$A$4:$A$16)</f>
        <v>0.61538461538461542</v>
      </c>
      <c r="H9" s="15">
        <f t="shared" si="1"/>
        <v>0.38461538461538458</v>
      </c>
      <c r="J9" s="29" t="s">
        <v>59</v>
      </c>
      <c r="K9" s="29" t="s">
        <v>60</v>
      </c>
      <c r="S9" t="str">
        <f>Setup!A11</f>
        <v xml:space="preserve">Prefect Calories Intake </v>
      </c>
      <c r="T9">
        <f>SUM(Monthly_log!B11:AF11)</f>
        <v>18</v>
      </c>
      <c r="U9">
        <f t="shared" si="7"/>
        <v>31</v>
      </c>
      <c r="V9" s="15">
        <f t="shared" si="8"/>
        <v>0.58064516129032262</v>
      </c>
    </row>
    <row r="10" spans="1:22" ht="15" customHeight="1" x14ac:dyDescent="0.3">
      <c r="A10" s="16" t="s">
        <v>55</v>
      </c>
      <c r="B10" s="18">
        <f>AVERAGE(G2:G32)</f>
        <v>0.72704714640198531</v>
      </c>
      <c r="D10" s="14">
        <f t="shared" si="9"/>
        <v>46151</v>
      </c>
      <c r="E10">
        <f>SUMIFS(Database!$C:$C,Database!$A:$A,D10)</f>
        <v>8</v>
      </c>
      <c r="F10">
        <f t="shared" si="0"/>
        <v>5</v>
      </c>
      <c r="G10" s="15">
        <f>E10/COUNTA(Setup!$A$4:$A$16)</f>
        <v>0.61538461538461542</v>
      </c>
      <c r="H10" s="15">
        <f t="shared" si="1"/>
        <v>0.38461538461538458</v>
      </c>
      <c r="J10" s="39" t="s">
        <v>35</v>
      </c>
      <c r="K10" s="40">
        <f>Calculations!B10</f>
        <v>0.72704714640198531</v>
      </c>
      <c r="S10" t="str">
        <f>Setup!A12</f>
        <v xml:space="preserve">No Sugar No Junk </v>
      </c>
      <c r="T10">
        <f>SUM(Monthly_log!B12:AF12)</f>
        <v>24</v>
      </c>
      <c r="U10">
        <f t="shared" si="7"/>
        <v>31</v>
      </c>
      <c r="V10" s="15">
        <f t="shared" si="8"/>
        <v>0.77419354838709675</v>
      </c>
    </row>
    <row r="11" spans="1:22" ht="14.4" customHeight="1" x14ac:dyDescent="0.3">
      <c r="A11" s="16" t="s">
        <v>37</v>
      </c>
      <c r="B11" s="18">
        <f>1-B10</f>
        <v>0.27295285359801469</v>
      </c>
      <c r="D11" s="14">
        <f t="shared" si="9"/>
        <v>46152</v>
      </c>
      <c r="E11">
        <f>SUMIFS(Database!$C:$C,Database!$A:$A,D11)</f>
        <v>9</v>
      </c>
      <c r="F11">
        <f t="shared" si="0"/>
        <v>4</v>
      </c>
      <c r="G11" s="15">
        <f>E11/COUNTA(Setup!$A$4:$A$16)</f>
        <v>0.69230769230769229</v>
      </c>
      <c r="H11" s="15">
        <f t="shared" si="1"/>
        <v>0.30769230769230771</v>
      </c>
      <c r="J11" s="39" t="s">
        <v>61</v>
      </c>
      <c r="K11" s="40">
        <f>Calculations!B11</f>
        <v>0.27295285359801469</v>
      </c>
      <c r="S11" t="str">
        <f>Setup!A13</f>
        <v>Read for 20 minutes</v>
      </c>
      <c r="T11">
        <f>SUM(Monthly_log!B13:AF13)</f>
        <v>17</v>
      </c>
      <c r="U11">
        <f t="shared" si="7"/>
        <v>31</v>
      </c>
      <c r="V11" s="15">
        <f t="shared" si="8"/>
        <v>0.54838709677419351</v>
      </c>
    </row>
    <row r="12" spans="1:22" x14ac:dyDescent="0.3">
      <c r="A12" s="16"/>
      <c r="D12" s="14">
        <f t="shared" si="9"/>
        <v>46153</v>
      </c>
      <c r="E12">
        <f>SUMIFS(Database!$C:$C,Database!$A:$A,D12)</f>
        <v>12</v>
      </c>
      <c r="F12">
        <f t="shared" si="0"/>
        <v>1</v>
      </c>
      <c r="G12" s="15">
        <f>E12/COUNTA(Setup!$A$4:$A$16)</f>
        <v>0.92307692307692313</v>
      </c>
      <c r="H12" s="15">
        <f t="shared" si="1"/>
        <v>7.6923076923076872E-2</v>
      </c>
      <c r="S12" t="str">
        <f>Setup!A14</f>
        <v>PM Skincare</v>
      </c>
      <c r="T12">
        <f>SUM(Monthly_log!B14:AF14)</f>
        <v>25</v>
      </c>
      <c r="U12">
        <f t="shared" si="7"/>
        <v>31</v>
      </c>
      <c r="V12" s="15">
        <f t="shared" si="8"/>
        <v>0.80645161290322576</v>
      </c>
    </row>
    <row r="13" spans="1:22" x14ac:dyDescent="0.3">
      <c r="D13" s="14">
        <f t="shared" si="9"/>
        <v>46154</v>
      </c>
      <c r="E13">
        <f>SUMIFS(Database!$C:$C,Database!$A:$A,D13)</f>
        <v>8</v>
      </c>
      <c r="F13">
        <f t="shared" si="0"/>
        <v>5</v>
      </c>
      <c r="G13" s="15">
        <f>E13/COUNTA(Setup!$A$4:$A$16)</f>
        <v>0.61538461538461542</v>
      </c>
      <c r="H13" s="15">
        <f t="shared" si="1"/>
        <v>0.38461538461538458</v>
      </c>
      <c r="S13" t="str">
        <f>Setup!A15</f>
        <v>Hair Care</v>
      </c>
      <c r="T13">
        <f>SUM(Monthly_log!B15:AF15)</f>
        <v>18</v>
      </c>
      <c r="U13">
        <f t="shared" si="7"/>
        <v>31</v>
      </c>
      <c r="V13" s="15">
        <f t="shared" si="8"/>
        <v>0.58064516129032262</v>
      </c>
    </row>
    <row r="14" spans="1:22" x14ac:dyDescent="0.3">
      <c r="D14" s="14">
        <f t="shared" si="9"/>
        <v>46155</v>
      </c>
      <c r="E14">
        <f>SUMIFS(Database!$C:$C,Database!$A:$A,D14)</f>
        <v>8</v>
      </c>
      <c r="F14">
        <f t="shared" si="0"/>
        <v>5</v>
      </c>
      <c r="G14" s="15">
        <f>E14/COUNTA(Setup!$A$4:$A$16)</f>
        <v>0.61538461538461542</v>
      </c>
      <c r="H14" s="15">
        <f t="shared" si="1"/>
        <v>0.38461538461538458</v>
      </c>
      <c r="S14" t="str">
        <f>Setup!A16</f>
        <v xml:space="preserve">6-7 Hr Sleep </v>
      </c>
      <c r="T14">
        <f>SUM(Monthly_log!B16:AF16)</f>
        <v>28</v>
      </c>
      <c r="U14">
        <f t="shared" si="7"/>
        <v>31</v>
      </c>
      <c r="V14" s="15">
        <f t="shared" si="8"/>
        <v>0.90322580645161288</v>
      </c>
    </row>
    <row r="15" spans="1:22" x14ac:dyDescent="0.3">
      <c r="D15" s="14">
        <f t="shared" si="9"/>
        <v>46156</v>
      </c>
      <c r="E15">
        <f>SUMIFS(Database!$C:$C,Database!$A:$A,D15)</f>
        <v>10</v>
      </c>
      <c r="F15">
        <f t="shared" si="0"/>
        <v>3</v>
      </c>
      <c r="G15" s="15">
        <f>E15/COUNTA(Setup!$A$4:$A$16)</f>
        <v>0.76923076923076927</v>
      </c>
      <c r="H15" s="15">
        <f t="shared" si="1"/>
        <v>0.23076923076923073</v>
      </c>
    </row>
    <row r="16" spans="1:22" x14ac:dyDescent="0.3">
      <c r="D16" s="14">
        <f t="shared" si="9"/>
        <v>46157</v>
      </c>
      <c r="E16">
        <f>SUMIFS(Database!$C:$C,Database!$A:$A,D16)</f>
        <v>9</v>
      </c>
      <c r="F16">
        <f t="shared" si="0"/>
        <v>4</v>
      </c>
      <c r="G16" s="15">
        <f>E16/COUNTA(Setup!$A$4:$A$16)</f>
        <v>0.69230769230769229</v>
      </c>
      <c r="H16" s="15">
        <f t="shared" si="1"/>
        <v>0.30769230769230771</v>
      </c>
    </row>
    <row r="17" spans="4:8" x14ac:dyDescent="0.3">
      <c r="D17" s="14">
        <f t="shared" si="9"/>
        <v>46158</v>
      </c>
      <c r="E17">
        <f>SUMIFS(Database!$C:$C,Database!$A:$A,D17)</f>
        <v>9</v>
      </c>
      <c r="F17">
        <f t="shared" si="0"/>
        <v>4</v>
      </c>
      <c r="G17" s="15">
        <f>E17/COUNTA(Setup!$A$4:$A$16)</f>
        <v>0.69230769230769229</v>
      </c>
      <c r="H17" s="15">
        <f t="shared" si="1"/>
        <v>0.30769230769230771</v>
      </c>
    </row>
    <row r="18" spans="4:8" x14ac:dyDescent="0.3">
      <c r="D18" s="14">
        <f t="shared" si="9"/>
        <v>46159</v>
      </c>
      <c r="E18">
        <f>SUMIFS(Database!$C:$C,Database!$A:$A,D18)</f>
        <v>9</v>
      </c>
      <c r="F18">
        <f t="shared" si="0"/>
        <v>4</v>
      </c>
      <c r="G18" s="15">
        <f>E18/COUNTA(Setup!$A$4:$A$16)</f>
        <v>0.69230769230769229</v>
      </c>
      <c r="H18" s="15">
        <f t="shared" si="1"/>
        <v>0.30769230769230771</v>
      </c>
    </row>
    <row r="19" spans="4:8" x14ac:dyDescent="0.3">
      <c r="D19" s="14">
        <f t="shared" si="9"/>
        <v>46160</v>
      </c>
      <c r="E19">
        <f>SUMIFS(Database!$C:$C,Database!$A:$A,D19)</f>
        <v>10</v>
      </c>
      <c r="F19">
        <f t="shared" si="0"/>
        <v>3</v>
      </c>
      <c r="G19" s="15">
        <f>E19/COUNTA(Setup!$A$4:$A$16)</f>
        <v>0.76923076923076927</v>
      </c>
      <c r="H19" s="15">
        <f t="shared" si="1"/>
        <v>0.23076923076923073</v>
      </c>
    </row>
    <row r="20" spans="4:8" x14ac:dyDescent="0.3">
      <c r="D20" s="14">
        <f t="shared" si="9"/>
        <v>46161</v>
      </c>
      <c r="E20">
        <f>SUMIFS(Database!$C:$C,Database!$A:$A,D20)</f>
        <v>9</v>
      </c>
      <c r="F20">
        <f t="shared" si="0"/>
        <v>4</v>
      </c>
      <c r="G20" s="15">
        <f>E20/COUNTA(Setup!$A$4:$A$16)</f>
        <v>0.69230769230769229</v>
      </c>
      <c r="H20" s="15">
        <f t="shared" si="1"/>
        <v>0.30769230769230771</v>
      </c>
    </row>
    <row r="21" spans="4:8" x14ac:dyDescent="0.3">
      <c r="D21" s="14">
        <f t="shared" si="9"/>
        <v>46162</v>
      </c>
      <c r="E21">
        <f>SUMIFS(Database!$C:$C,Database!$A:$A,D21)</f>
        <v>10</v>
      </c>
      <c r="F21">
        <f t="shared" si="0"/>
        <v>3</v>
      </c>
      <c r="G21" s="15">
        <f>E21/COUNTA(Setup!$A$4:$A$16)</f>
        <v>0.76923076923076927</v>
      </c>
      <c r="H21" s="15">
        <f t="shared" si="1"/>
        <v>0.23076923076923073</v>
      </c>
    </row>
    <row r="22" spans="4:8" x14ac:dyDescent="0.3">
      <c r="D22" s="14">
        <f t="shared" si="9"/>
        <v>46163</v>
      </c>
      <c r="E22">
        <f>SUMIFS(Database!$C:$C,Database!$A:$A,D22)</f>
        <v>10</v>
      </c>
      <c r="F22">
        <f t="shared" si="0"/>
        <v>3</v>
      </c>
      <c r="G22" s="15">
        <f>E22/COUNTA(Setup!$A$4:$A$16)</f>
        <v>0.76923076923076927</v>
      </c>
      <c r="H22" s="15">
        <f t="shared" si="1"/>
        <v>0.23076923076923073</v>
      </c>
    </row>
    <row r="23" spans="4:8" x14ac:dyDescent="0.3">
      <c r="D23" s="14">
        <f t="shared" si="9"/>
        <v>46164</v>
      </c>
      <c r="E23">
        <f>SUMIFS(Database!$C:$C,Database!$A:$A,D23)</f>
        <v>9</v>
      </c>
      <c r="F23">
        <f t="shared" si="0"/>
        <v>4</v>
      </c>
      <c r="G23" s="15">
        <f>E23/COUNTA(Setup!$A$4:$A$16)</f>
        <v>0.69230769230769229</v>
      </c>
      <c r="H23" s="15">
        <f t="shared" si="1"/>
        <v>0.30769230769230771</v>
      </c>
    </row>
    <row r="24" spans="4:8" x14ac:dyDescent="0.3">
      <c r="D24" s="14">
        <f t="shared" si="9"/>
        <v>46165</v>
      </c>
      <c r="E24">
        <f>SUMIFS(Database!$C:$C,Database!$A:$A,D24)</f>
        <v>8</v>
      </c>
      <c r="F24">
        <f t="shared" si="0"/>
        <v>5</v>
      </c>
      <c r="G24" s="15">
        <f>E24/COUNTA(Setup!$A$4:$A$16)</f>
        <v>0.61538461538461542</v>
      </c>
      <c r="H24" s="15">
        <f t="shared" si="1"/>
        <v>0.38461538461538458</v>
      </c>
    </row>
    <row r="25" spans="4:8" x14ac:dyDescent="0.3">
      <c r="D25" s="14">
        <f t="shared" si="9"/>
        <v>46166</v>
      </c>
      <c r="E25">
        <f>SUMIFS(Database!$C:$C,Database!$A:$A,D25)</f>
        <v>9</v>
      </c>
      <c r="F25">
        <f t="shared" si="0"/>
        <v>4</v>
      </c>
      <c r="G25" s="15">
        <f>E25/COUNTA(Setup!$A$4:$A$16)</f>
        <v>0.69230769230769229</v>
      </c>
      <c r="H25" s="15">
        <f t="shared" si="1"/>
        <v>0.30769230769230771</v>
      </c>
    </row>
    <row r="26" spans="4:8" x14ac:dyDescent="0.3">
      <c r="D26" s="14">
        <f t="shared" si="9"/>
        <v>46167</v>
      </c>
      <c r="E26">
        <f>SUMIFS(Database!$C:$C,Database!$A:$A,D26)</f>
        <v>9</v>
      </c>
      <c r="F26">
        <f t="shared" si="0"/>
        <v>4</v>
      </c>
      <c r="G26" s="15">
        <f>E26/COUNTA(Setup!$A$4:$A$16)</f>
        <v>0.69230769230769229</v>
      </c>
      <c r="H26" s="15">
        <f t="shared" si="1"/>
        <v>0.30769230769230771</v>
      </c>
    </row>
    <row r="27" spans="4:8" x14ac:dyDescent="0.3">
      <c r="D27" s="14">
        <f t="shared" si="9"/>
        <v>46168</v>
      </c>
      <c r="E27">
        <f>SUMIFS(Database!$C:$C,Database!$A:$A,D27)</f>
        <v>10</v>
      </c>
      <c r="F27">
        <f t="shared" si="0"/>
        <v>3</v>
      </c>
      <c r="G27" s="15">
        <f>E27/COUNTA(Setup!$A$4:$A$16)</f>
        <v>0.76923076923076927</v>
      </c>
      <c r="H27" s="15">
        <f t="shared" si="1"/>
        <v>0.23076923076923073</v>
      </c>
    </row>
    <row r="28" spans="4:8" x14ac:dyDescent="0.3">
      <c r="D28" s="14">
        <f t="shared" si="9"/>
        <v>46169</v>
      </c>
      <c r="E28">
        <f>SUMIFS(Database!$C:$C,Database!$A:$A,D28)</f>
        <v>9</v>
      </c>
      <c r="F28">
        <f t="shared" si="0"/>
        <v>4</v>
      </c>
      <c r="G28" s="15">
        <f>E28/COUNTA(Setup!$A$4:$A$16)</f>
        <v>0.69230769230769229</v>
      </c>
      <c r="H28" s="15">
        <f t="shared" si="1"/>
        <v>0.30769230769230771</v>
      </c>
    </row>
    <row r="29" spans="4:8" x14ac:dyDescent="0.3">
      <c r="D29" s="14">
        <f t="shared" si="9"/>
        <v>46170</v>
      </c>
      <c r="E29">
        <f>SUMIFS(Database!$C:$C,Database!$A:$A,D29)</f>
        <v>10</v>
      </c>
      <c r="F29">
        <f t="shared" si="0"/>
        <v>3</v>
      </c>
      <c r="G29" s="15">
        <f>E29/COUNTA(Setup!$A$4:$A$16)</f>
        <v>0.76923076923076927</v>
      </c>
      <c r="H29" s="15">
        <f t="shared" si="1"/>
        <v>0.23076923076923073</v>
      </c>
    </row>
    <row r="30" spans="4:8" x14ac:dyDescent="0.3">
      <c r="D30" s="14">
        <f t="shared" si="9"/>
        <v>46171</v>
      </c>
      <c r="E30">
        <f>SUMIFS(Database!$C:$C,Database!$A:$A,D30)</f>
        <v>9</v>
      </c>
      <c r="F30">
        <f t="shared" si="0"/>
        <v>4</v>
      </c>
      <c r="G30" s="15">
        <f>E30/COUNTA(Setup!$A$4:$A$16)</f>
        <v>0.69230769230769229</v>
      </c>
      <c r="H30" s="15">
        <f t="shared" si="1"/>
        <v>0.30769230769230771</v>
      </c>
    </row>
    <row r="31" spans="4:8" x14ac:dyDescent="0.3">
      <c r="D31" s="14">
        <f t="shared" si="9"/>
        <v>46172</v>
      </c>
      <c r="E31">
        <f>SUMIFS(Database!$C:$C,Database!$A:$A,D31)</f>
        <v>9</v>
      </c>
      <c r="F31">
        <f t="shared" si="0"/>
        <v>4</v>
      </c>
      <c r="G31" s="15">
        <f>E31/COUNTA(Setup!$A$4:$A$16)</f>
        <v>0.69230769230769229</v>
      </c>
      <c r="H31" s="15">
        <f t="shared" si="1"/>
        <v>0.30769230769230771</v>
      </c>
    </row>
    <row r="32" spans="4:8" x14ac:dyDescent="0.3">
      <c r="D32" s="14">
        <f t="shared" si="9"/>
        <v>46173</v>
      </c>
      <c r="E32">
        <f>SUMIFS(Database!$C:$C,Database!$A:$A,D32)</f>
        <v>12</v>
      </c>
      <c r="F32">
        <f t="shared" si="0"/>
        <v>1</v>
      </c>
      <c r="G32" s="15">
        <f>E32/COUNTA(Setup!$A$4:$A$16)</f>
        <v>0.92307692307692313</v>
      </c>
      <c r="H32" s="15">
        <f t="shared" si="1"/>
        <v>7.6923076923076872E-2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A60F97-3F01-46F2-805D-DA9014389DE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Calculations!G2:G2</xm:f>
              <xm:sqref>I2</xm:sqref>
            </x14:sparkline>
            <x14:sparkline>
              <xm:f>Calculations!G3:G3</xm:f>
              <xm:sqref>I3</xm:sqref>
            </x14:sparkline>
            <x14:sparkline>
              <xm:f>Calculations!G4:G4</xm:f>
              <xm:sqref>I4</xm:sqref>
            </x14:sparkline>
            <x14:sparkline>
              <xm:f>Calculations!G5:G5</xm:f>
              <xm:sqref>I5</xm:sqref>
            </x14:sparkline>
            <x14:sparkline>
              <xm:f>Calculations!G6:G6</xm:f>
              <xm:sqref>I6</xm:sqref>
            </x14:sparkline>
            <x14:sparkline>
              <xm:f>Calculations!G7:G7</xm:f>
              <xm:sqref>I7</xm:sqref>
            </x14:sparkline>
            <x14:sparkline>
              <xm:f>Calculations!G8:G8</xm:f>
              <xm:sqref>I8</xm:sqref>
            </x14:sparkline>
            <x14:sparkline>
              <xm:f>Calculations!G9:G9</xm:f>
              <xm:sqref>I9</xm:sqref>
            </x14:sparkline>
            <x14:sparkline>
              <xm:f>Calculations!G10:G10</xm:f>
              <xm:sqref>I10</xm:sqref>
            </x14:sparkline>
            <x14:sparkline>
              <xm:f>Calculations!G11:G11</xm:f>
              <xm:sqref>I11</xm:sqref>
            </x14:sparkline>
            <x14:sparkline>
              <xm:f>Calculations!G12:G12</xm:f>
              <xm:sqref>I12</xm:sqref>
            </x14:sparkline>
            <x14:sparkline>
              <xm:f>Calculations!G13:G13</xm:f>
              <xm:sqref>I13</xm:sqref>
            </x14:sparkline>
            <x14:sparkline>
              <xm:f>Calculations!G14:G14</xm:f>
              <xm:sqref>I14</xm:sqref>
            </x14:sparkline>
            <x14:sparkline>
              <xm:f>Calculations!G15:G15</xm:f>
              <xm:sqref>I15</xm:sqref>
            </x14:sparkline>
            <x14:sparkline>
              <xm:f>Calculations!G16:G16</xm:f>
              <xm:sqref>I16</xm:sqref>
            </x14:sparkline>
            <x14:sparkline>
              <xm:f>Calculations!G17:G17</xm:f>
              <xm:sqref>I17</xm:sqref>
            </x14:sparkline>
            <x14:sparkline>
              <xm:f>Calculations!G18:G18</xm:f>
              <xm:sqref>I18</xm:sqref>
            </x14:sparkline>
            <x14:sparkline>
              <xm:f>Calculations!G19:G19</xm:f>
              <xm:sqref>I19</xm:sqref>
            </x14:sparkline>
            <x14:sparkline>
              <xm:f>Calculations!G20:G20</xm:f>
              <xm:sqref>I20</xm:sqref>
            </x14:sparkline>
            <x14:sparkline>
              <xm:f>Calculations!G21:G21</xm:f>
              <xm:sqref>I21</xm:sqref>
            </x14:sparkline>
            <x14:sparkline>
              <xm:f>Calculations!G22:G22</xm:f>
              <xm:sqref>I22</xm:sqref>
            </x14:sparkline>
            <x14:sparkline>
              <xm:f>Calculations!G23:G23</xm:f>
              <xm:sqref>I23</xm:sqref>
            </x14:sparkline>
            <x14:sparkline>
              <xm:f>Calculations!G24:G24</xm:f>
              <xm:sqref>I24</xm:sqref>
            </x14:sparkline>
            <x14:sparkline>
              <xm:f>Calculations!G25:G25</xm:f>
              <xm:sqref>I25</xm:sqref>
            </x14:sparkline>
            <x14:sparkline>
              <xm:f>Calculations!G26:G26</xm:f>
              <xm:sqref>I26</xm:sqref>
            </x14:sparkline>
            <x14:sparkline>
              <xm:f>Calculations!G27:G27</xm:f>
              <xm:sqref>I27</xm:sqref>
            </x14:sparkline>
            <x14:sparkline>
              <xm:f>Calculations!G28:G28</xm:f>
              <xm:sqref>I28</xm:sqref>
            </x14:sparkline>
            <x14:sparkline>
              <xm:f>Calculations!G29:G29</xm:f>
              <xm:sqref>I29</xm:sqref>
            </x14:sparkline>
            <x14:sparkline>
              <xm:f>Calculations!G30:G30</xm:f>
              <xm:sqref>I30</xm:sqref>
            </x14:sparkline>
            <x14:sparkline>
              <xm:f>Calculations!G31:G31</xm:f>
              <xm:sqref>I31</xm:sqref>
            </x14:sparkline>
            <x14:sparkline>
              <xm:f>Calculations!G32:G32</xm:f>
              <xm:sqref>I32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7D182-FB57-4E3D-AED4-163AB7430E22}">
  <sheetPr codeName="Sheet5"/>
  <dimension ref="A1:AP43"/>
  <sheetViews>
    <sheetView showGridLines="0" tabSelected="1" zoomScale="58" zoomScaleNormal="55" workbookViewId="0">
      <selection activeCell="AL16" sqref="AL16"/>
    </sheetView>
  </sheetViews>
  <sheetFormatPr defaultRowHeight="14.4" x14ac:dyDescent="0.3"/>
  <cols>
    <col min="2" max="2" width="32.6640625" bestFit="1" customWidth="1"/>
    <col min="3" max="3" width="10.109375" bestFit="1" customWidth="1"/>
    <col min="4" max="4" width="5.5546875" bestFit="1" customWidth="1"/>
    <col min="5" max="5" width="6.44140625" bestFit="1" customWidth="1"/>
    <col min="6" max="6" width="7.21875" bestFit="1" customWidth="1"/>
    <col min="7" max="7" width="6.21875" bestFit="1" customWidth="1"/>
    <col min="8" max="8" width="7.33203125" bestFit="1" customWidth="1"/>
    <col min="9" max="9" width="6.5546875" bestFit="1" customWidth="1"/>
    <col min="10" max="10" width="5.33203125" bestFit="1" customWidth="1"/>
    <col min="11" max="11" width="5.5546875" bestFit="1" customWidth="1"/>
    <col min="12" max="12" width="6.44140625" bestFit="1" customWidth="1"/>
    <col min="13" max="13" width="7.21875" bestFit="1" customWidth="1"/>
    <col min="14" max="14" width="6.21875" bestFit="1" customWidth="1"/>
    <col min="15" max="15" width="7.33203125" bestFit="1" customWidth="1"/>
    <col min="16" max="16" width="6.5546875" bestFit="1" customWidth="1"/>
    <col min="17" max="17" width="5.33203125" bestFit="1" customWidth="1"/>
    <col min="18" max="18" width="5.5546875" bestFit="1" customWidth="1"/>
    <col min="19" max="19" width="6.44140625" bestFit="1" customWidth="1"/>
    <col min="20" max="20" width="7.21875" bestFit="1" customWidth="1"/>
    <col min="21" max="21" width="6.21875" bestFit="1" customWidth="1"/>
    <col min="22" max="22" width="7.33203125" bestFit="1" customWidth="1"/>
    <col min="23" max="23" width="6.5546875" bestFit="1" customWidth="1"/>
    <col min="24" max="24" width="5.33203125" bestFit="1" customWidth="1"/>
    <col min="25" max="25" width="5.5546875" bestFit="1" customWidth="1"/>
    <col min="26" max="26" width="6.44140625" bestFit="1" customWidth="1"/>
    <col min="27" max="27" width="7.21875" bestFit="1" customWidth="1"/>
    <col min="28" max="28" width="6.21875" bestFit="1" customWidth="1"/>
    <col min="29" max="29" width="7.33203125" bestFit="1" customWidth="1"/>
    <col min="30" max="30" width="6.5546875" bestFit="1" customWidth="1"/>
    <col min="31" max="31" width="5.33203125" bestFit="1" customWidth="1"/>
    <col min="32" max="32" width="5.5546875" bestFit="1" customWidth="1"/>
    <col min="33" max="33" width="6.44140625" bestFit="1" customWidth="1"/>
    <col min="41" max="41" width="15.88671875" customWidth="1"/>
    <col min="42" max="42" width="19.88671875" customWidth="1"/>
  </cols>
  <sheetData>
    <row r="1" spans="1:42" ht="15" thickBot="1" x14ac:dyDescent="0.3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5"/>
    </row>
    <row r="2" spans="1:42" ht="14.4" customHeight="1" x14ac:dyDescent="0.3">
      <c r="A2" s="26"/>
      <c r="B2" s="84" t="s">
        <v>56</v>
      </c>
      <c r="C2" s="85"/>
      <c r="D2" s="85"/>
      <c r="E2" s="85"/>
      <c r="F2" s="8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5"/>
    </row>
    <row r="3" spans="1:42" ht="14.4" customHeight="1" x14ac:dyDescent="0.3">
      <c r="A3" s="26"/>
      <c r="B3" s="87"/>
      <c r="C3" s="88"/>
      <c r="D3" s="88"/>
      <c r="E3" s="88"/>
      <c r="F3" s="89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5"/>
    </row>
    <row r="4" spans="1:42" ht="15" customHeight="1" thickBot="1" x14ac:dyDescent="0.35">
      <c r="A4" s="26"/>
      <c r="B4" s="90"/>
      <c r="C4" s="91"/>
      <c r="D4" s="91"/>
      <c r="E4" s="91"/>
      <c r="F4" s="9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5"/>
    </row>
    <row r="5" spans="1:42" ht="15" thickBot="1" x14ac:dyDescent="0.35">
      <c r="A5" s="26"/>
      <c r="B5" s="28"/>
      <c r="C5" s="28"/>
      <c r="D5" s="28"/>
      <c r="E5" s="28"/>
      <c r="F5" s="28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5"/>
    </row>
    <row r="6" spans="1:42" ht="14.4" customHeight="1" x14ac:dyDescent="0.3">
      <c r="A6" s="26"/>
      <c r="B6" s="84" t="s">
        <v>57</v>
      </c>
      <c r="C6" s="85"/>
      <c r="D6" s="86"/>
      <c r="E6" s="84" t="s">
        <v>58</v>
      </c>
      <c r="F6" s="8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5"/>
    </row>
    <row r="7" spans="1:42" ht="15" customHeight="1" thickBot="1" x14ac:dyDescent="0.35">
      <c r="A7" s="26"/>
      <c r="B7" s="90"/>
      <c r="C7" s="91"/>
      <c r="D7" s="92"/>
      <c r="E7" s="90"/>
      <c r="F7" s="9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5"/>
    </row>
    <row r="8" spans="1:42" ht="14.4" customHeight="1" x14ac:dyDescent="0.3">
      <c r="A8" s="26"/>
      <c r="B8" s="93" t="str">
        <f>Setup!B3</f>
        <v>May</v>
      </c>
      <c r="C8" s="94"/>
      <c r="D8" s="95"/>
      <c r="E8" s="93">
        <f>Setup!B2</f>
        <v>2026</v>
      </c>
      <c r="F8" s="9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5"/>
    </row>
    <row r="9" spans="1:42" ht="15" customHeight="1" thickBot="1" x14ac:dyDescent="0.35">
      <c r="A9" s="26"/>
      <c r="B9" s="96"/>
      <c r="C9" s="97"/>
      <c r="D9" s="98"/>
      <c r="E9" s="96"/>
      <c r="F9" s="98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5"/>
    </row>
    <row r="10" spans="1:42" x14ac:dyDescent="0.3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</row>
    <row r="11" spans="1:42" x14ac:dyDescent="0.3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</row>
    <row r="12" spans="1:42" x14ac:dyDescent="0.3">
      <c r="A12" s="26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</row>
    <row r="13" spans="1:42" x14ac:dyDescent="0.3">
      <c r="A13" s="26"/>
    </row>
    <row r="14" spans="1:42" ht="30" x14ac:dyDescent="0.5">
      <c r="A14" s="26"/>
      <c r="B14" s="41" t="s">
        <v>62</v>
      </c>
      <c r="C14" s="35">
        <f>Monthly_log!B1</f>
        <v>46143</v>
      </c>
      <c r="D14" s="35">
        <f>Monthly_log!C1</f>
        <v>46144</v>
      </c>
      <c r="E14" s="35">
        <f>Monthly_log!D1</f>
        <v>46145</v>
      </c>
      <c r="F14" s="35">
        <f>Monthly_log!E1</f>
        <v>46146</v>
      </c>
      <c r="G14" s="35">
        <f>Monthly_log!F1</f>
        <v>46147</v>
      </c>
      <c r="H14" s="35">
        <f>Monthly_log!G1</f>
        <v>46148</v>
      </c>
      <c r="I14" s="35">
        <f>Monthly_log!H1</f>
        <v>46149</v>
      </c>
      <c r="J14" s="35">
        <f>Monthly_log!I1</f>
        <v>46150</v>
      </c>
      <c r="K14" s="35">
        <f>Monthly_log!J1</f>
        <v>46151</v>
      </c>
      <c r="L14" s="35">
        <f>Monthly_log!K1</f>
        <v>46152</v>
      </c>
      <c r="M14" s="35">
        <f>Monthly_log!L1</f>
        <v>46153</v>
      </c>
      <c r="N14" s="35">
        <f>Monthly_log!M1</f>
        <v>46154</v>
      </c>
      <c r="O14" s="35">
        <f>Monthly_log!N1</f>
        <v>46155</v>
      </c>
      <c r="P14" s="35">
        <f>Monthly_log!O1</f>
        <v>46156</v>
      </c>
      <c r="Q14" s="35">
        <f>Monthly_log!P1</f>
        <v>46157</v>
      </c>
      <c r="R14" s="35">
        <f>Monthly_log!Q1</f>
        <v>46158</v>
      </c>
      <c r="S14" s="35">
        <f>Monthly_log!R1</f>
        <v>46159</v>
      </c>
      <c r="T14" s="35">
        <f>Monthly_log!S1</f>
        <v>46160</v>
      </c>
      <c r="U14" s="35">
        <f>Monthly_log!T1</f>
        <v>46161</v>
      </c>
      <c r="V14" s="35">
        <f>Monthly_log!U1</f>
        <v>46162</v>
      </c>
      <c r="W14" s="35">
        <f>Monthly_log!V1</f>
        <v>46163</v>
      </c>
      <c r="X14" s="35">
        <f>Monthly_log!W1</f>
        <v>46164</v>
      </c>
      <c r="Y14" s="35">
        <f>Monthly_log!X1</f>
        <v>46165</v>
      </c>
      <c r="Z14" s="35">
        <f>Monthly_log!Y1</f>
        <v>46166</v>
      </c>
      <c r="AA14" s="35">
        <f>Monthly_log!Z1</f>
        <v>46167</v>
      </c>
      <c r="AB14" s="35">
        <f>Monthly_log!AA1</f>
        <v>46168</v>
      </c>
      <c r="AC14" s="35">
        <f>Monthly_log!AB1</f>
        <v>46169</v>
      </c>
      <c r="AD14" s="35">
        <f>Monthly_log!AC1</f>
        <v>46170</v>
      </c>
      <c r="AE14" s="35">
        <f>Monthly_log!AD1</f>
        <v>46171</v>
      </c>
      <c r="AF14" s="35">
        <f>Monthly_log!AE1</f>
        <v>46172</v>
      </c>
      <c r="AG14" s="35">
        <f>Monthly_log!AF1</f>
        <v>46173</v>
      </c>
    </row>
    <row r="15" spans="1:42" ht="20.399999999999999" x14ac:dyDescent="0.35">
      <c r="A15" s="26"/>
      <c r="B15" s="36"/>
      <c r="C15" s="37" t="str">
        <f>Monthly_log!B2</f>
        <v>Fri</v>
      </c>
      <c r="D15" s="37" t="str">
        <f>Monthly_log!C2</f>
        <v>Sat</v>
      </c>
      <c r="E15" s="37" t="str">
        <f>Monthly_log!D2</f>
        <v>Sun</v>
      </c>
      <c r="F15" s="37" t="str">
        <f>Monthly_log!E2</f>
        <v>Mon</v>
      </c>
      <c r="G15" s="37" t="str">
        <f>Monthly_log!F2</f>
        <v>Tue</v>
      </c>
      <c r="H15" s="37" t="str">
        <f>Monthly_log!G2</f>
        <v>Wed</v>
      </c>
      <c r="I15" s="37" t="str">
        <f>Monthly_log!H2</f>
        <v>Thu</v>
      </c>
      <c r="J15" s="37" t="str">
        <f>Monthly_log!I2</f>
        <v>Fri</v>
      </c>
      <c r="K15" s="37" t="str">
        <f>Monthly_log!J2</f>
        <v>Sat</v>
      </c>
      <c r="L15" s="37" t="str">
        <f>Monthly_log!K2</f>
        <v>Sun</v>
      </c>
      <c r="M15" s="37" t="str">
        <f>Monthly_log!L2</f>
        <v>Mon</v>
      </c>
      <c r="N15" s="37" t="str">
        <f>Monthly_log!M2</f>
        <v>Tue</v>
      </c>
      <c r="O15" s="37" t="str">
        <f>Monthly_log!N2</f>
        <v>Wed</v>
      </c>
      <c r="P15" s="37" t="str">
        <f>Monthly_log!O2</f>
        <v>Thu</v>
      </c>
      <c r="Q15" s="37" t="str">
        <f>Monthly_log!P2</f>
        <v>Fri</v>
      </c>
      <c r="R15" s="37" t="str">
        <f>Monthly_log!Q2</f>
        <v>Sat</v>
      </c>
      <c r="S15" s="37" t="str">
        <f>Monthly_log!R2</f>
        <v>Sun</v>
      </c>
      <c r="T15" s="37" t="str">
        <f>Monthly_log!S2</f>
        <v>Mon</v>
      </c>
      <c r="U15" s="37" t="str">
        <f>Monthly_log!T2</f>
        <v>Tue</v>
      </c>
      <c r="V15" s="37" t="str">
        <f>Monthly_log!U2</f>
        <v>Wed</v>
      </c>
      <c r="W15" s="37" t="str">
        <f>Monthly_log!V2</f>
        <v>Thu</v>
      </c>
      <c r="X15" s="37" t="str">
        <f>Monthly_log!W2</f>
        <v>Fri</v>
      </c>
      <c r="Y15" s="37" t="str">
        <f>Monthly_log!X2</f>
        <v>Sat</v>
      </c>
      <c r="Z15" s="37" t="str">
        <f>Monthly_log!Y2</f>
        <v>Sun</v>
      </c>
      <c r="AA15" s="37" t="str">
        <f>Monthly_log!Z2</f>
        <v>Mon</v>
      </c>
      <c r="AB15" s="37" t="str">
        <f>Monthly_log!AA2</f>
        <v>Tue</v>
      </c>
      <c r="AC15" s="37" t="str">
        <f>Monthly_log!AB2</f>
        <v>Wed</v>
      </c>
      <c r="AD15" s="37" t="str">
        <f>Monthly_log!AC2</f>
        <v>Thu</v>
      </c>
      <c r="AE15" s="37" t="str">
        <f>Monthly_log!AD2</f>
        <v>Fri</v>
      </c>
      <c r="AF15" s="37" t="str">
        <f>Monthly_log!AE2</f>
        <v>Sat</v>
      </c>
      <c r="AG15" s="37" t="str">
        <f>Monthly_log!AF2</f>
        <v>Sun</v>
      </c>
    </row>
    <row r="16" spans="1:42" ht="21" x14ac:dyDescent="0.4">
      <c r="A16" s="26"/>
      <c r="B16" s="38" t="str">
        <f>Monthly_log!A4</f>
        <v>Going to GYM</v>
      </c>
      <c r="C16" s="34">
        <f>Monthly_log!B4</f>
        <v>1</v>
      </c>
      <c r="D16" s="34">
        <f>Monthly_log!C4</f>
        <v>1</v>
      </c>
      <c r="E16" s="34">
        <f>Monthly_log!D4</f>
        <v>1</v>
      </c>
      <c r="F16" s="34">
        <f>Monthly_log!E4</f>
        <v>1</v>
      </c>
      <c r="G16" s="34">
        <f>Monthly_log!F4</f>
        <v>1</v>
      </c>
      <c r="H16" s="34">
        <f>Monthly_log!G4</f>
        <v>1</v>
      </c>
      <c r="I16" s="34">
        <f>Monthly_log!H4</f>
        <v>1</v>
      </c>
      <c r="J16" s="34">
        <f>Monthly_log!I4</f>
        <v>0</v>
      </c>
      <c r="K16" s="34">
        <f>Monthly_log!J4</f>
        <v>1</v>
      </c>
      <c r="L16" s="34">
        <f>Monthly_log!K4</f>
        <v>1</v>
      </c>
      <c r="M16" s="34">
        <f>Monthly_log!L4</f>
        <v>1</v>
      </c>
      <c r="N16" s="34">
        <f>Monthly_log!M4</f>
        <v>1</v>
      </c>
      <c r="O16" s="34">
        <f>Monthly_log!N4</f>
        <v>1</v>
      </c>
      <c r="P16" s="34">
        <f>Monthly_log!O4</f>
        <v>1</v>
      </c>
      <c r="Q16" s="34">
        <f>Monthly_log!P4</f>
        <v>0</v>
      </c>
      <c r="R16" s="34">
        <f>Monthly_log!Q4</f>
        <v>1</v>
      </c>
      <c r="S16" s="34">
        <f>Monthly_log!R4</f>
        <v>1</v>
      </c>
      <c r="T16" s="34">
        <f>Monthly_log!S4</f>
        <v>1</v>
      </c>
      <c r="U16" s="34">
        <f>Monthly_log!T4</f>
        <v>1</v>
      </c>
      <c r="V16" s="34">
        <f>Monthly_log!U4</f>
        <v>1</v>
      </c>
      <c r="W16" s="34">
        <f>Monthly_log!V4</f>
        <v>1</v>
      </c>
      <c r="X16" s="34">
        <f>Monthly_log!W4</f>
        <v>1</v>
      </c>
      <c r="Y16" s="34">
        <f>Monthly_log!X4</f>
        <v>0</v>
      </c>
      <c r="Z16" s="34">
        <f>Monthly_log!Y4</f>
        <v>1</v>
      </c>
      <c r="AA16" s="34">
        <f>Monthly_log!Z4</f>
        <v>1</v>
      </c>
      <c r="AB16" s="34">
        <f>Monthly_log!AA4</f>
        <v>1</v>
      </c>
      <c r="AC16" s="34">
        <f>Monthly_log!AB4</f>
        <v>1</v>
      </c>
      <c r="AD16" s="34">
        <f>Monthly_log!AC4</f>
        <v>1</v>
      </c>
      <c r="AE16" s="34">
        <f>Monthly_log!AD4</f>
        <v>1</v>
      </c>
      <c r="AF16" s="34">
        <f>Monthly_log!AE4</f>
        <v>0</v>
      </c>
      <c r="AG16" s="34">
        <f>Monthly_log!AF4</f>
        <v>1</v>
      </c>
    </row>
    <row r="17" spans="1:33" ht="21" x14ac:dyDescent="0.4">
      <c r="A17" s="26"/>
      <c r="B17" s="38" t="str">
        <f>Monthly_log!A5</f>
        <v>Protein Breakfast</v>
      </c>
      <c r="C17" s="34">
        <f>Monthly_log!B5</f>
        <v>1</v>
      </c>
      <c r="D17" s="34">
        <f>Monthly_log!C5</f>
        <v>1</v>
      </c>
      <c r="E17" s="34">
        <f>Monthly_log!D5</f>
        <v>1</v>
      </c>
      <c r="F17" s="34">
        <f>Monthly_log!E5</f>
        <v>1</v>
      </c>
      <c r="G17" s="34">
        <f>Monthly_log!F5</f>
        <v>0</v>
      </c>
      <c r="H17" s="34">
        <f>Monthly_log!G5</f>
        <v>0</v>
      </c>
      <c r="I17" s="34">
        <f>Monthly_log!H5</f>
        <v>1</v>
      </c>
      <c r="J17" s="34">
        <f>Monthly_log!I5</f>
        <v>1</v>
      </c>
      <c r="K17" s="34">
        <f>Monthly_log!J5</f>
        <v>1</v>
      </c>
      <c r="L17" s="34">
        <f>Monthly_log!K5</f>
        <v>0</v>
      </c>
      <c r="M17" s="34">
        <f>Monthly_log!L5</f>
        <v>1</v>
      </c>
      <c r="N17" s="34">
        <f>Monthly_log!M5</f>
        <v>0</v>
      </c>
      <c r="O17" s="34">
        <f>Monthly_log!N5</f>
        <v>0</v>
      </c>
      <c r="P17" s="34">
        <f>Monthly_log!O5</f>
        <v>1</v>
      </c>
      <c r="Q17" s="34">
        <f>Monthly_log!P5</f>
        <v>1</v>
      </c>
      <c r="R17" s="34">
        <f>Monthly_log!Q5</f>
        <v>1</v>
      </c>
      <c r="S17" s="34">
        <f>Monthly_log!R5</f>
        <v>1</v>
      </c>
      <c r="T17" s="34">
        <f>Monthly_log!S5</f>
        <v>1</v>
      </c>
      <c r="U17" s="34">
        <f>Monthly_log!T5</f>
        <v>0</v>
      </c>
      <c r="V17" s="34">
        <f>Monthly_log!U5</f>
        <v>0</v>
      </c>
      <c r="W17" s="34">
        <f>Monthly_log!V5</f>
        <v>1</v>
      </c>
      <c r="X17" s="34">
        <f>Monthly_log!W5</f>
        <v>1</v>
      </c>
      <c r="Y17" s="34">
        <f>Monthly_log!X5</f>
        <v>1</v>
      </c>
      <c r="Z17" s="34">
        <f>Monthly_log!Y5</f>
        <v>1</v>
      </c>
      <c r="AA17" s="34">
        <f>Monthly_log!Z5</f>
        <v>0</v>
      </c>
      <c r="AB17" s="34">
        <f>Monthly_log!AA5</f>
        <v>1</v>
      </c>
      <c r="AC17" s="34">
        <f>Monthly_log!AB5</f>
        <v>0</v>
      </c>
      <c r="AD17" s="34">
        <f>Monthly_log!AC5</f>
        <v>0</v>
      </c>
      <c r="AE17" s="34">
        <f>Monthly_log!AD5</f>
        <v>1</v>
      </c>
      <c r="AF17" s="34">
        <f>Monthly_log!AE5</f>
        <v>1</v>
      </c>
      <c r="AG17" s="34">
        <f>Monthly_log!AF5</f>
        <v>1</v>
      </c>
    </row>
    <row r="18" spans="1:33" ht="21" x14ac:dyDescent="0.4">
      <c r="A18" s="26"/>
      <c r="B18" s="38" t="str">
        <f>Monthly_log!A6</f>
        <v xml:space="preserve">AM Skincare </v>
      </c>
      <c r="C18" s="34">
        <f>Monthly_log!B6</f>
        <v>1</v>
      </c>
      <c r="D18" s="34">
        <f>Monthly_log!C6</f>
        <v>1</v>
      </c>
      <c r="E18" s="34">
        <f>Monthly_log!D6</f>
        <v>1</v>
      </c>
      <c r="F18" s="34">
        <f>Monthly_log!E6</f>
        <v>1</v>
      </c>
      <c r="G18" s="34">
        <f>Monthly_log!F6</f>
        <v>1</v>
      </c>
      <c r="H18" s="34">
        <f>Monthly_log!G6</f>
        <v>1</v>
      </c>
      <c r="I18" s="34">
        <f>Monthly_log!H6</f>
        <v>1</v>
      </c>
      <c r="J18" s="34">
        <f>Monthly_log!I6</f>
        <v>0</v>
      </c>
      <c r="K18" s="34">
        <f>Monthly_log!J6</f>
        <v>1</v>
      </c>
      <c r="L18" s="34">
        <f>Monthly_log!K6</f>
        <v>1</v>
      </c>
      <c r="M18" s="34">
        <f>Monthly_log!L6</f>
        <v>1</v>
      </c>
      <c r="N18" s="34">
        <f>Monthly_log!M6</f>
        <v>1</v>
      </c>
      <c r="O18" s="34">
        <f>Monthly_log!N6</f>
        <v>0</v>
      </c>
      <c r="P18" s="34">
        <f>Monthly_log!O6</f>
        <v>1</v>
      </c>
      <c r="Q18" s="34">
        <f>Monthly_log!P6</f>
        <v>1</v>
      </c>
      <c r="R18" s="34">
        <f>Monthly_log!Q6</f>
        <v>1</v>
      </c>
      <c r="S18" s="34">
        <f>Monthly_log!R6</f>
        <v>0</v>
      </c>
      <c r="T18" s="34">
        <f>Monthly_log!S6</f>
        <v>1</v>
      </c>
      <c r="U18" s="34">
        <f>Monthly_log!T6</f>
        <v>1</v>
      </c>
      <c r="V18" s="34">
        <f>Monthly_log!U6</f>
        <v>1</v>
      </c>
      <c r="W18" s="34">
        <f>Monthly_log!V6</f>
        <v>1</v>
      </c>
      <c r="X18" s="34">
        <f>Monthly_log!W6</f>
        <v>0</v>
      </c>
      <c r="Y18" s="34">
        <f>Monthly_log!X6</f>
        <v>0</v>
      </c>
      <c r="Z18" s="34">
        <f>Monthly_log!Y6</f>
        <v>1</v>
      </c>
      <c r="AA18" s="34">
        <f>Monthly_log!Z6</f>
        <v>1</v>
      </c>
      <c r="AB18" s="34">
        <f>Monthly_log!AA6</f>
        <v>1</v>
      </c>
      <c r="AC18" s="34">
        <f>Monthly_log!AB6</f>
        <v>1</v>
      </c>
      <c r="AD18" s="34">
        <f>Monthly_log!AC6</f>
        <v>1</v>
      </c>
      <c r="AE18" s="34">
        <f>Monthly_log!AD6</f>
        <v>1</v>
      </c>
      <c r="AF18" s="34">
        <f>Monthly_log!AE6</f>
        <v>0</v>
      </c>
      <c r="AG18" s="34">
        <f>Monthly_log!AF6</f>
        <v>1</v>
      </c>
    </row>
    <row r="19" spans="1:33" ht="21" x14ac:dyDescent="0.4">
      <c r="A19" s="26"/>
      <c r="B19" s="38" t="str">
        <f>Monthly_log!A7</f>
        <v>Clg or Side Hustle</v>
      </c>
      <c r="C19" s="34">
        <f>Monthly_log!B7</f>
        <v>1</v>
      </c>
      <c r="D19" s="34">
        <f>Monthly_log!C7</f>
        <v>1</v>
      </c>
      <c r="E19" s="34">
        <f>Monthly_log!D7</f>
        <v>0</v>
      </c>
      <c r="F19" s="34">
        <f>Monthly_log!E7</f>
        <v>0</v>
      </c>
      <c r="G19" s="34">
        <f>Monthly_log!F7</f>
        <v>0</v>
      </c>
      <c r="H19" s="34">
        <f>Monthly_log!G7</f>
        <v>1</v>
      </c>
      <c r="I19" s="34">
        <f>Monthly_log!H7</f>
        <v>1</v>
      </c>
      <c r="J19" s="34">
        <f>Monthly_log!I7</f>
        <v>0</v>
      </c>
      <c r="K19" s="34">
        <f>Monthly_log!J7</f>
        <v>1</v>
      </c>
      <c r="L19" s="34">
        <f>Monthly_log!K7</f>
        <v>0</v>
      </c>
      <c r="M19" s="34">
        <f>Monthly_log!L7</f>
        <v>0</v>
      </c>
      <c r="N19" s="34">
        <f>Monthly_log!M7</f>
        <v>0</v>
      </c>
      <c r="O19" s="34">
        <f>Monthly_log!N7</f>
        <v>1</v>
      </c>
      <c r="P19" s="34">
        <f>Monthly_log!O7</f>
        <v>1</v>
      </c>
      <c r="Q19" s="34">
        <f>Monthly_log!P7</f>
        <v>0</v>
      </c>
      <c r="R19" s="34">
        <f>Monthly_log!Q7</f>
        <v>1</v>
      </c>
      <c r="S19" s="34">
        <f>Monthly_log!R7</f>
        <v>0</v>
      </c>
      <c r="T19" s="34">
        <f>Monthly_log!S7</f>
        <v>0</v>
      </c>
      <c r="U19" s="34">
        <f>Monthly_log!T7</f>
        <v>0</v>
      </c>
      <c r="V19" s="34">
        <f>Monthly_log!U7</f>
        <v>1</v>
      </c>
      <c r="W19" s="34">
        <f>Monthly_log!V7</f>
        <v>1</v>
      </c>
      <c r="X19" s="34">
        <f>Monthly_log!W7</f>
        <v>0</v>
      </c>
      <c r="Y19" s="34">
        <f>Monthly_log!X7</f>
        <v>0</v>
      </c>
      <c r="Z19" s="34">
        <f>Monthly_log!Y7</f>
        <v>1</v>
      </c>
      <c r="AA19" s="34">
        <f>Monthly_log!Z7</f>
        <v>0</v>
      </c>
      <c r="AB19" s="34">
        <f>Monthly_log!AA7</f>
        <v>0</v>
      </c>
      <c r="AC19" s="34">
        <f>Monthly_log!AB7</f>
        <v>0</v>
      </c>
      <c r="AD19" s="34">
        <f>Monthly_log!AC7</f>
        <v>1</v>
      </c>
      <c r="AE19" s="34">
        <f>Monthly_log!AD7</f>
        <v>1</v>
      </c>
      <c r="AF19" s="34">
        <f>Monthly_log!AE7</f>
        <v>1</v>
      </c>
      <c r="AG19" s="34">
        <f>Monthly_log!AF7</f>
        <v>1</v>
      </c>
    </row>
    <row r="20" spans="1:33" ht="21" x14ac:dyDescent="0.4">
      <c r="A20" s="26"/>
      <c r="B20" s="38" t="str">
        <f>Monthly_log!A8</f>
        <v>Certification Course</v>
      </c>
      <c r="C20" s="34">
        <f>Monthly_log!B8</f>
        <v>1</v>
      </c>
      <c r="D20" s="34">
        <f>Monthly_log!C8</f>
        <v>1</v>
      </c>
      <c r="E20" s="34">
        <f>Monthly_log!D8</f>
        <v>1</v>
      </c>
      <c r="F20" s="34">
        <f>Monthly_log!E8</f>
        <v>1</v>
      </c>
      <c r="G20" s="34">
        <f>Monthly_log!F8</f>
        <v>1</v>
      </c>
      <c r="H20" s="34">
        <f>Monthly_log!G8</f>
        <v>1</v>
      </c>
      <c r="I20" s="34">
        <f>Monthly_log!H8</f>
        <v>0</v>
      </c>
      <c r="J20" s="34">
        <f>Monthly_log!I8</f>
        <v>1</v>
      </c>
      <c r="K20" s="34">
        <f>Monthly_log!J8</f>
        <v>1</v>
      </c>
      <c r="L20" s="34">
        <f>Monthly_log!K8</f>
        <v>1</v>
      </c>
      <c r="M20" s="34">
        <f>Monthly_log!L8</f>
        <v>1</v>
      </c>
      <c r="N20" s="34">
        <f>Monthly_log!M8</f>
        <v>1</v>
      </c>
      <c r="O20" s="34">
        <f>Monthly_log!N8</f>
        <v>1</v>
      </c>
      <c r="P20" s="34">
        <f>Monthly_log!O8</f>
        <v>0</v>
      </c>
      <c r="Q20" s="34">
        <f>Monthly_log!P8</f>
        <v>1</v>
      </c>
      <c r="R20" s="34">
        <f>Monthly_log!Q8</f>
        <v>1</v>
      </c>
      <c r="S20" s="34">
        <f>Monthly_log!R8</f>
        <v>1</v>
      </c>
      <c r="T20" s="34">
        <f>Monthly_log!S8</f>
        <v>1</v>
      </c>
      <c r="U20" s="34">
        <f>Monthly_log!T8</f>
        <v>1</v>
      </c>
      <c r="V20" s="34">
        <f>Monthly_log!U8</f>
        <v>1</v>
      </c>
      <c r="W20" s="34">
        <f>Monthly_log!V8</f>
        <v>0</v>
      </c>
      <c r="X20" s="34">
        <f>Monthly_log!W8</f>
        <v>1</v>
      </c>
      <c r="Y20" s="34">
        <f>Monthly_log!X8</f>
        <v>1</v>
      </c>
      <c r="Z20" s="34">
        <f>Monthly_log!Y8</f>
        <v>1</v>
      </c>
      <c r="AA20" s="34">
        <f>Monthly_log!Z8</f>
        <v>1</v>
      </c>
      <c r="AB20" s="34">
        <f>Monthly_log!AA8</f>
        <v>1</v>
      </c>
      <c r="AC20" s="34">
        <f>Monthly_log!AB8</f>
        <v>1</v>
      </c>
      <c r="AD20" s="34">
        <f>Monthly_log!AC8</f>
        <v>1</v>
      </c>
      <c r="AE20" s="34">
        <f>Monthly_log!AD8</f>
        <v>0</v>
      </c>
      <c r="AF20" s="34">
        <f>Monthly_log!AE8</f>
        <v>1</v>
      </c>
      <c r="AG20" s="34">
        <f>Monthly_log!AF8</f>
        <v>1</v>
      </c>
    </row>
    <row r="21" spans="1:33" ht="21" x14ac:dyDescent="0.4">
      <c r="A21" s="26"/>
      <c r="B21" s="38" t="str">
        <f>Monthly_log!A9</f>
        <v>Study or Journal</v>
      </c>
      <c r="C21" s="34">
        <f>Monthly_log!B9</f>
        <v>1</v>
      </c>
      <c r="D21" s="34">
        <f>Monthly_log!C9</f>
        <v>0</v>
      </c>
      <c r="E21" s="34">
        <f>Monthly_log!D9</f>
        <v>1</v>
      </c>
      <c r="F21" s="34">
        <f>Monthly_log!E9</f>
        <v>1</v>
      </c>
      <c r="G21" s="34">
        <f>Monthly_log!F9</f>
        <v>1</v>
      </c>
      <c r="H21" s="34">
        <f>Monthly_log!G9</f>
        <v>1</v>
      </c>
      <c r="I21" s="34">
        <f>Monthly_log!H9</f>
        <v>1</v>
      </c>
      <c r="J21" s="34">
        <f>Monthly_log!I9</f>
        <v>1</v>
      </c>
      <c r="K21" s="34">
        <f>Monthly_log!J9</f>
        <v>0</v>
      </c>
      <c r="L21" s="34">
        <f>Monthly_log!K9</f>
        <v>1</v>
      </c>
      <c r="M21" s="34">
        <f>Monthly_log!L9</f>
        <v>1</v>
      </c>
      <c r="N21" s="34">
        <f>Monthly_log!M9</f>
        <v>1</v>
      </c>
      <c r="O21" s="34">
        <f>Monthly_log!N9</f>
        <v>1</v>
      </c>
      <c r="P21" s="34">
        <f>Monthly_log!O9</f>
        <v>1</v>
      </c>
      <c r="Q21" s="34">
        <f>Monthly_log!P9</f>
        <v>1</v>
      </c>
      <c r="R21" s="34">
        <f>Monthly_log!Q9</f>
        <v>0</v>
      </c>
      <c r="S21" s="34">
        <f>Monthly_log!R9</f>
        <v>1</v>
      </c>
      <c r="T21" s="34">
        <f>Monthly_log!S9</f>
        <v>1</v>
      </c>
      <c r="U21" s="34">
        <f>Monthly_log!T9</f>
        <v>1</v>
      </c>
      <c r="V21" s="34">
        <f>Monthly_log!U9</f>
        <v>1</v>
      </c>
      <c r="W21" s="34">
        <f>Monthly_log!V9</f>
        <v>1</v>
      </c>
      <c r="X21" s="34">
        <f>Monthly_log!W9</f>
        <v>1</v>
      </c>
      <c r="Y21" s="34">
        <f>Monthly_log!X9</f>
        <v>1</v>
      </c>
      <c r="Z21" s="34">
        <f>Monthly_log!Y9</f>
        <v>0</v>
      </c>
      <c r="AA21" s="34">
        <f>Monthly_log!Z9</f>
        <v>1</v>
      </c>
      <c r="AB21" s="34">
        <f>Monthly_log!AA9</f>
        <v>1</v>
      </c>
      <c r="AC21" s="34">
        <f>Monthly_log!AB9</f>
        <v>1</v>
      </c>
      <c r="AD21" s="34">
        <f>Monthly_log!AC9</f>
        <v>1</v>
      </c>
      <c r="AE21" s="34">
        <f>Monthly_log!AD9</f>
        <v>1</v>
      </c>
      <c r="AF21" s="34">
        <f>Monthly_log!AE9</f>
        <v>1</v>
      </c>
      <c r="AG21" s="34">
        <f>Monthly_log!AF9</f>
        <v>1</v>
      </c>
    </row>
    <row r="22" spans="1:33" ht="21" x14ac:dyDescent="0.4">
      <c r="A22" s="26"/>
      <c r="B22" s="38" t="str">
        <f>Monthly_log!A10</f>
        <v>Drink 3L water</v>
      </c>
      <c r="C22" s="34">
        <f>Monthly_log!B10</f>
        <v>1</v>
      </c>
      <c r="D22" s="34">
        <f>Monthly_log!C10</f>
        <v>1</v>
      </c>
      <c r="E22" s="34">
        <f>Monthly_log!D10</f>
        <v>1</v>
      </c>
      <c r="F22" s="34">
        <f>Monthly_log!E10</f>
        <v>1</v>
      </c>
      <c r="G22" s="34">
        <f>Monthly_log!F10</f>
        <v>0</v>
      </c>
      <c r="H22" s="34">
        <f>Monthly_log!G10</f>
        <v>1</v>
      </c>
      <c r="I22" s="34">
        <f>Monthly_log!H10</f>
        <v>0</v>
      </c>
      <c r="J22" s="34">
        <f>Monthly_log!I10</f>
        <v>1</v>
      </c>
      <c r="K22" s="34">
        <f>Monthly_log!J10</f>
        <v>1</v>
      </c>
      <c r="L22" s="34">
        <f>Monthly_log!K10</f>
        <v>1</v>
      </c>
      <c r="M22" s="34">
        <f>Monthly_log!L10</f>
        <v>1</v>
      </c>
      <c r="N22" s="34">
        <f>Monthly_log!M10</f>
        <v>0</v>
      </c>
      <c r="O22" s="34">
        <f>Monthly_log!N10</f>
        <v>0</v>
      </c>
      <c r="P22" s="34">
        <f>Monthly_log!O10</f>
        <v>1</v>
      </c>
      <c r="Q22" s="34">
        <f>Monthly_log!P10</f>
        <v>1</v>
      </c>
      <c r="R22" s="34">
        <f>Monthly_log!Q10</f>
        <v>1</v>
      </c>
      <c r="S22" s="34">
        <f>Monthly_log!R10</f>
        <v>1</v>
      </c>
      <c r="T22" s="34">
        <f>Monthly_log!S10</f>
        <v>0</v>
      </c>
      <c r="U22" s="34">
        <f>Monthly_log!T10</f>
        <v>0</v>
      </c>
      <c r="V22" s="34">
        <f>Monthly_log!U10</f>
        <v>1</v>
      </c>
      <c r="W22" s="34">
        <f>Monthly_log!V10</f>
        <v>1</v>
      </c>
      <c r="X22" s="34">
        <f>Monthly_log!W10</f>
        <v>0</v>
      </c>
      <c r="Y22" s="34">
        <f>Monthly_log!X10</f>
        <v>1</v>
      </c>
      <c r="Z22" s="34">
        <f>Monthly_log!Y10</f>
        <v>1</v>
      </c>
      <c r="AA22" s="34">
        <f>Monthly_log!Z10</f>
        <v>1</v>
      </c>
      <c r="AB22" s="34">
        <f>Monthly_log!AA10</f>
        <v>0</v>
      </c>
      <c r="AC22" s="34">
        <f>Monthly_log!AB10</f>
        <v>0</v>
      </c>
      <c r="AD22" s="34">
        <f>Monthly_log!AC10</f>
        <v>1</v>
      </c>
      <c r="AE22" s="34">
        <f>Monthly_log!AD10</f>
        <v>0</v>
      </c>
      <c r="AF22" s="34">
        <f>Monthly_log!AE10</f>
        <v>1</v>
      </c>
      <c r="AG22" s="34">
        <f>Monthly_log!AF10</f>
        <v>1</v>
      </c>
    </row>
    <row r="23" spans="1:33" ht="21" x14ac:dyDescent="0.4">
      <c r="A23" s="26"/>
      <c r="B23" s="38" t="str">
        <f>Monthly_log!A11</f>
        <v xml:space="preserve">Prefect Calories Intake </v>
      </c>
      <c r="C23" s="34">
        <f>Monthly_log!B11</f>
        <v>1</v>
      </c>
      <c r="D23" s="34">
        <f>Monthly_log!C11</f>
        <v>0</v>
      </c>
      <c r="E23" s="34">
        <f>Monthly_log!D11</f>
        <v>1</v>
      </c>
      <c r="F23" s="34">
        <f>Monthly_log!E11</f>
        <v>1</v>
      </c>
      <c r="G23" s="34">
        <f>Monthly_log!F11</f>
        <v>1</v>
      </c>
      <c r="H23" s="34">
        <f>Monthly_log!G11</f>
        <v>0</v>
      </c>
      <c r="I23" s="34">
        <f>Monthly_log!H11</f>
        <v>1</v>
      </c>
      <c r="J23" s="34">
        <f>Monthly_log!I11</f>
        <v>0</v>
      </c>
      <c r="K23" s="34">
        <f>Monthly_log!J11</f>
        <v>0</v>
      </c>
      <c r="L23" s="34">
        <f>Monthly_log!K11</f>
        <v>1</v>
      </c>
      <c r="M23" s="34">
        <f>Monthly_log!L11</f>
        <v>1</v>
      </c>
      <c r="N23" s="34">
        <f>Monthly_log!M11</f>
        <v>1</v>
      </c>
      <c r="O23" s="34">
        <f>Monthly_log!N11</f>
        <v>0</v>
      </c>
      <c r="P23" s="34">
        <f>Monthly_log!O11</f>
        <v>1</v>
      </c>
      <c r="Q23" s="34">
        <f>Monthly_log!P11</f>
        <v>0</v>
      </c>
      <c r="R23" s="34">
        <f>Monthly_log!Q11</f>
        <v>0</v>
      </c>
      <c r="S23" s="34">
        <f>Monthly_log!R11</f>
        <v>1</v>
      </c>
      <c r="T23" s="34">
        <f>Monthly_log!S11</f>
        <v>1</v>
      </c>
      <c r="U23" s="34">
        <f>Monthly_log!T11</f>
        <v>1</v>
      </c>
      <c r="V23" s="34">
        <f>Monthly_log!U11</f>
        <v>0</v>
      </c>
      <c r="W23" s="34">
        <f>Monthly_log!V11</f>
        <v>1</v>
      </c>
      <c r="X23" s="34">
        <f>Monthly_log!W11</f>
        <v>1</v>
      </c>
      <c r="Y23" s="34">
        <f>Monthly_log!X11</f>
        <v>0</v>
      </c>
      <c r="Z23" s="34">
        <f>Monthly_log!Y11</f>
        <v>0</v>
      </c>
      <c r="AA23" s="34">
        <f>Monthly_log!Z11</f>
        <v>1</v>
      </c>
      <c r="AB23" s="34">
        <f>Monthly_log!AA11</f>
        <v>1</v>
      </c>
      <c r="AC23" s="34">
        <f>Monthly_log!AB11</f>
        <v>1</v>
      </c>
      <c r="AD23" s="34">
        <f>Monthly_log!AC11</f>
        <v>0</v>
      </c>
      <c r="AE23" s="34">
        <f>Monthly_log!AD11</f>
        <v>1</v>
      </c>
      <c r="AF23" s="34">
        <f>Monthly_log!AE11</f>
        <v>0</v>
      </c>
      <c r="AG23" s="34">
        <f>Monthly_log!AF11</f>
        <v>0</v>
      </c>
    </row>
    <row r="24" spans="1:33" ht="21" x14ac:dyDescent="0.4">
      <c r="A24" s="26"/>
      <c r="B24" s="38" t="str">
        <f>Monthly_log!A12</f>
        <v xml:space="preserve">No Sugar No Junk </v>
      </c>
      <c r="C24" s="34">
        <f>Monthly_log!B12</f>
        <v>1</v>
      </c>
      <c r="D24" s="34">
        <f>Monthly_log!C12</f>
        <v>1</v>
      </c>
      <c r="E24" s="34">
        <f>Monthly_log!D12</f>
        <v>0</v>
      </c>
      <c r="F24" s="34">
        <f>Monthly_log!E12</f>
        <v>1</v>
      </c>
      <c r="G24" s="34">
        <f>Monthly_log!F12</f>
        <v>1</v>
      </c>
      <c r="H24" s="34">
        <f>Monthly_log!G12</f>
        <v>1</v>
      </c>
      <c r="I24" s="34">
        <f>Monthly_log!H12</f>
        <v>0</v>
      </c>
      <c r="J24" s="34">
        <f>Monthly_log!I12</f>
        <v>1</v>
      </c>
      <c r="K24" s="34">
        <f>Monthly_log!J12</f>
        <v>1</v>
      </c>
      <c r="L24" s="34">
        <f>Monthly_log!K12</f>
        <v>0</v>
      </c>
      <c r="M24" s="34">
        <f>Monthly_log!L12</f>
        <v>1</v>
      </c>
      <c r="N24" s="34">
        <f>Monthly_log!M12</f>
        <v>1</v>
      </c>
      <c r="O24" s="34">
        <f>Monthly_log!N12</f>
        <v>1</v>
      </c>
      <c r="P24" s="34">
        <f>Monthly_log!O12</f>
        <v>0</v>
      </c>
      <c r="Q24" s="34">
        <f>Monthly_log!P12</f>
        <v>1</v>
      </c>
      <c r="R24" s="34">
        <f>Monthly_log!Q12</f>
        <v>1</v>
      </c>
      <c r="S24" s="34">
        <f>Monthly_log!R12</f>
        <v>0</v>
      </c>
      <c r="T24" s="34">
        <f>Monthly_log!S12</f>
        <v>1</v>
      </c>
      <c r="U24" s="34">
        <f>Monthly_log!T12</f>
        <v>1</v>
      </c>
      <c r="V24" s="34">
        <f>Monthly_log!U12</f>
        <v>1</v>
      </c>
      <c r="W24" s="34">
        <f>Monthly_log!V12</f>
        <v>0</v>
      </c>
      <c r="X24" s="34">
        <f>Monthly_log!W12</f>
        <v>1</v>
      </c>
      <c r="Y24" s="34">
        <f>Monthly_log!X12</f>
        <v>1</v>
      </c>
      <c r="Z24" s="34">
        <f>Monthly_log!Y12</f>
        <v>1</v>
      </c>
      <c r="AA24" s="34">
        <f>Monthly_log!Z12</f>
        <v>0</v>
      </c>
      <c r="AB24" s="34">
        <f>Monthly_log!AA12</f>
        <v>1</v>
      </c>
      <c r="AC24" s="34">
        <f>Monthly_log!AB12</f>
        <v>1</v>
      </c>
      <c r="AD24" s="34">
        <f>Monthly_log!AC12</f>
        <v>1</v>
      </c>
      <c r="AE24" s="34">
        <f>Monthly_log!AD12</f>
        <v>1</v>
      </c>
      <c r="AF24" s="34">
        <f>Monthly_log!AE12</f>
        <v>1</v>
      </c>
      <c r="AG24" s="34">
        <f>Monthly_log!AF12</f>
        <v>1</v>
      </c>
    </row>
    <row r="25" spans="1:33" ht="21" x14ac:dyDescent="0.4">
      <c r="A25" s="26"/>
      <c r="B25" s="38" t="str">
        <f>Monthly_log!A13</f>
        <v>Read for 20 minutes</v>
      </c>
      <c r="C25" s="34">
        <f>Monthly_log!B13</f>
        <v>0</v>
      </c>
      <c r="D25" s="34">
        <f>Monthly_log!C13</f>
        <v>0</v>
      </c>
      <c r="E25" s="34">
        <f>Monthly_log!D13</f>
        <v>1</v>
      </c>
      <c r="F25" s="34">
        <f>Monthly_log!E13</f>
        <v>1</v>
      </c>
      <c r="G25" s="34">
        <f>Monthly_log!F13</f>
        <v>1</v>
      </c>
      <c r="H25" s="34">
        <f>Monthly_log!G13</f>
        <v>0</v>
      </c>
      <c r="I25" s="34">
        <f>Monthly_log!H13</f>
        <v>1</v>
      </c>
      <c r="J25" s="34">
        <f>Monthly_log!I13</f>
        <v>0</v>
      </c>
      <c r="K25" s="34">
        <f>Monthly_log!J13</f>
        <v>0</v>
      </c>
      <c r="L25" s="34">
        <f>Monthly_log!K13</f>
        <v>1</v>
      </c>
      <c r="M25" s="34">
        <f>Monthly_log!L13</f>
        <v>1</v>
      </c>
      <c r="N25" s="34">
        <f>Monthly_log!M13</f>
        <v>0</v>
      </c>
      <c r="O25" s="34">
        <f>Monthly_log!N13</f>
        <v>0</v>
      </c>
      <c r="P25" s="34">
        <f>Monthly_log!O13</f>
        <v>1</v>
      </c>
      <c r="Q25" s="34">
        <f>Monthly_log!P13</f>
        <v>0</v>
      </c>
      <c r="R25" s="34">
        <f>Monthly_log!Q13</f>
        <v>0</v>
      </c>
      <c r="S25" s="34">
        <f>Monthly_log!R13</f>
        <v>1</v>
      </c>
      <c r="T25" s="34">
        <f>Monthly_log!S13</f>
        <v>1</v>
      </c>
      <c r="U25" s="34">
        <f>Monthly_log!T13</f>
        <v>1</v>
      </c>
      <c r="V25" s="34">
        <f>Monthly_log!U13</f>
        <v>0</v>
      </c>
      <c r="W25" s="34">
        <f>Monthly_log!V13</f>
        <v>1</v>
      </c>
      <c r="X25" s="34">
        <f>Monthly_log!W13</f>
        <v>1</v>
      </c>
      <c r="Y25" s="34">
        <f>Monthly_log!X13</f>
        <v>0</v>
      </c>
      <c r="Z25" s="34">
        <f>Monthly_log!Y13</f>
        <v>0</v>
      </c>
      <c r="AA25" s="34">
        <f>Monthly_log!Z13</f>
        <v>1</v>
      </c>
      <c r="AB25" s="34">
        <f>Monthly_log!AA13</f>
        <v>1</v>
      </c>
      <c r="AC25" s="34">
        <f>Monthly_log!AB13</f>
        <v>1</v>
      </c>
      <c r="AD25" s="34">
        <f>Monthly_log!AC13</f>
        <v>0</v>
      </c>
      <c r="AE25" s="34">
        <f>Monthly_log!AD13</f>
        <v>1</v>
      </c>
      <c r="AF25" s="34">
        <f>Monthly_log!AE13</f>
        <v>0</v>
      </c>
      <c r="AG25" s="34">
        <f>Monthly_log!AF13</f>
        <v>1</v>
      </c>
    </row>
    <row r="26" spans="1:33" ht="21" x14ac:dyDescent="0.4">
      <c r="A26" s="26"/>
      <c r="B26" s="38" t="str">
        <f>Monthly_log!A14</f>
        <v>PM Skincare</v>
      </c>
      <c r="C26" s="34">
        <f>Monthly_log!B14</f>
        <v>1</v>
      </c>
      <c r="D26" s="34">
        <f>Monthly_log!C14</f>
        <v>1</v>
      </c>
      <c r="E26" s="34">
        <f>Monthly_log!D14</f>
        <v>1</v>
      </c>
      <c r="F26" s="34">
        <f>Monthly_log!E14</f>
        <v>0</v>
      </c>
      <c r="G26" s="34">
        <f>Monthly_log!F14</f>
        <v>1</v>
      </c>
      <c r="H26" s="34">
        <f>Monthly_log!G14</f>
        <v>1</v>
      </c>
      <c r="I26" s="34">
        <f>Monthly_log!H14</f>
        <v>0</v>
      </c>
      <c r="J26" s="34">
        <f>Monthly_log!I14</f>
        <v>1</v>
      </c>
      <c r="K26" s="34">
        <f>Monthly_log!J14</f>
        <v>1</v>
      </c>
      <c r="L26" s="34">
        <f>Monthly_log!K14</f>
        <v>1</v>
      </c>
      <c r="M26" s="34">
        <f>Monthly_log!L14</f>
        <v>1</v>
      </c>
      <c r="N26" s="34">
        <f>Monthly_log!M14</f>
        <v>1</v>
      </c>
      <c r="O26" s="34">
        <f>Monthly_log!N14</f>
        <v>1</v>
      </c>
      <c r="P26" s="34">
        <f>Monthly_log!O14</f>
        <v>0</v>
      </c>
      <c r="Q26" s="34">
        <f>Monthly_log!P14</f>
        <v>1</v>
      </c>
      <c r="R26" s="34">
        <f>Monthly_log!Q14</f>
        <v>1</v>
      </c>
      <c r="S26" s="34">
        <f>Monthly_log!R14</f>
        <v>1</v>
      </c>
      <c r="T26" s="34">
        <f>Monthly_log!S14</f>
        <v>0</v>
      </c>
      <c r="U26" s="34">
        <f>Monthly_log!T14</f>
        <v>1</v>
      </c>
      <c r="V26" s="34">
        <f>Monthly_log!U14</f>
        <v>1</v>
      </c>
      <c r="W26" s="34">
        <f>Monthly_log!V14</f>
        <v>1</v>
      </c>
      <c r="X26" s="34">
        <f>Monthly_log!W14</f>
        <v>1</v>
      </c>
      <c r="Y26" s="34">
        <f>Monthly_log!X14</f>
        <v>1</v>
      </c>
      <c r="Z26" s="34">
        <f>Monthly_log!Y14</f>
        <v>1</v>
      </c>
      <c r="AA26" s="34">
        <f>Monthly_log!Z14</f>
        <v>1</v>
      </c>
      <c r="AB26" s="34">
        <f>Monthly_log!AA14</f>
        <v>0</v>
      </c>
      <c r="AC26" s="34">
        <f>Monthly_log!AB14</f>
        <v>1</v>
      </c>
      <c r="AD26" s="34">
        <f>Monthly_log!AC14</f>
        <v>1</v>
      </c>
      <c r="AE26" s="34">
        <f>Monthly_log!AD14</f>
        <v>0</v>
      </c>
      <c r="AF26" s="34">
        <f>Monthly_log!AE14</f>
        <v>1</v>
      </c>
      <c r="AG26" s="34">
        <f>Monthly_log!AF14</f>
        <v>1</v>
      </c>
    </row>
    <row r="27" spans="1:33" ht="21" x14ac:dyDescent="0.4">
      <c r="A27" s="26"/>
      <c r="B27" s="38" t="str">
        <f>Monthly_log!A15</f>
        <v>Hair Care</v>
      </c>
      <c r="C27" s="34">
        <f>Monthly_log!B15</f>
        <v>1</v>
      </c>
      <c r="D27" s="34">
        <f>Monthly_log!C15</f>
        <v>0</v>
      </c>
      <c r="E27" s="34">
        <f>Monthly_log!D15</f>
        <v>0</v>
      </c>
      <c r="F27" s="34">
        <f>Monthly_log!E15</f>
        <v>1</v>
      </c>
      <c r="G27" s="34">
        <f>Monthly_log!F15</f>
        <v>0</v>
      </c>
      <c r="H27" s="34">
        <f>Monthly_log!G15</f>
        <v>1</v>
      </c>
      <c r="I27" s="34">
        <f>Monthly_log!H15</f>
        <v>1</v>
      </c>
      <c r="J27" s="34">
        <f>Monthly_log!I15</f>
        <v>1</v>
      </c>
      <c r="K27" s="34">
        <f>Monthly_log!J15</f>
        <v>0</v>
      </c>
      <c r="L27" s="34">
        <f>Monthly_log!K15</f>
        <v>0</v>
      </c>
      <c r="M27" s="34">
        <f>Monthly_log!L15</f>
        <v>1</v>
      </c>
      <c r="N27" s="34">
        <f>Monthly_log!M15</f>
        <v>0</v>
      </c>
      <c r="O27" s="34">
        <f>Monthly_log!N15</f>
        <v>1</v>
      </c>
      <c r="P27" s="34">
        <f>Monthly_log!O15</f>
        <v>1</v>
      </c>
      <c r="Q27" s="34">
        <f>Monthly_log!P15</f>
        <v>1</v>
      </c>
      <c r="R27" s="34">
        <f>Monthly_log!Q15</f>
        <v>0</v>
      </c>
      <c r="S27" s="34">
        <f>Monthly_log!R15</f>
        <v>0</v>
      </c>
      <c r="T27" s="34">
        <f>Monthly_log!S15</f>
        <v>1</v>
      </c>
      <c r="U27" s="34">
        <f>Monthly_log!T15</f>
        <v>0</v>
      </c>
      <c r="V27" s="34">
        <f>Monthly_log!U15</f>
        <v>1</v>
      </c>
      <c r="W27" s="34">
        <f>Monthly_log!V15</f>
        <v>1</v>
      </c>
      <c r="X27" s="34">
        <f>Monthly_log!W15</f>
        <v>0</v>
      </c>
      <c r="Y27" s="34">
        <f>Monthly_log!X15</f>
        <v>1</v>
      </c>
      <c r="Z27" s="34">
        <f>Monthly_log!Y15</f>
        <v>0</v>
      </c>
      <c r="AA27" s="34">
        <f>Monthly_log!Z15</f>
        <v>0</v>
      </c>
      <c r="AB27" s="34">
        <f>Monthly_log!AA15</f>
        <v>1</v>
      </c>
      <c r="AC27" s="34">
        <f>Monthly_log!AB15</f>
        <v>0</v>
      </c>
      <c r="AD27" s="34">
        <f>Monthly_log!AC15</f>
        <v>1</v>
      </c>
      <c r="AE27" s="34">
        <f>Monthly_log!AD15</f>
        <v>1</v>
      </c>
      <c r="AF27" s="34">
        <f>Monthly_log!AE15</f>
        <v>1</v>
      </c>
      <c r="AG27" s="34">
        <f>Monthly_log!AF15</f>
        <v>1</v>
      </c>
    </row>
    <row r="28" spans="1:33" ht="21" x14ac:dyDescent="0.4">
      <c r="A28" s="26"/>
      <c r="B28" s="38" t="str">
        <f>Monthly_log!A16</f>
        <v xml:space="preserve">6-7 Hr Sleep </v>
      </c>
      <c r="C28" s="34">
        <f>Monthly_log!B16</f>
        <v>1</v>
      </c>
      <c r="D28" s="34">
        <f>Monthly_log!C16</f>
        <v>1</v>
      </c>
      <c r="E28" s="34">
        <f>Monthly_log!D16</f>
        <v>1</v>
      </c>
      <c r="F28" s="34">
        <f>Monthly_log!E16</f>
        <v>1</v>
      </c>
      <c r="G28" s="34">
        <f>Monthly_log!F16</f>
        <v>1</v>
      </c>
      <c r="H28" s="34">
        <f>Monthly_log!G16</f>
        <v>1</v>
      </c>
      <c r="I28" s="34">
        <f>Monthly_log!H16</f>
        <v>1</v>
      </c>
      <c r="J28" s="34">
        <f>Monthly_log!I16</f>
        <v>1</v>
      </c>
      <c r="K28" s="34">
        <f>Monthly_log!J16</f>
        <v>0</v>
      </c>
      <c r="L28" s="34">
        <f>Monthly_log!K16</f>
        <v>1</v>
      </c>
      <c r="M28" s="34">
        <f>Monthly_log!L16</f>
        <v>1</v>
      </c>
      <c r="N28" s="34">
        <f>Monthly_log!M16</f>
        <v>1</v>
      </c>
      <c r="O28" s="34">
        <f>Monthly_log!N16</f>
        <v>1</v>
      </c>
      <c r="P28" s="34">
        <f>Monthly_log!O16</f>
        <v>1</v>
      </c>
      <c r="Q28" s="34">
        <f>Monthly_log!P16</f>
        <v>1</v>
      </c>
      <c r="R28" s="34">
        <f>Monthly_log!Q16</f>
        <v>1</v>
      </c>
      <c r="S28" s="34">
        <f>Monthly_log!R16</f>
        <v>1</v>
      </c>
      <c r="T28" s="34">
        <f>Monthly_log!S16</f>
        <v>1</v>
      </c>
      <c r="U28" s="34">
        <f>Monthly_log!T16</f>
        <v>1</v>
      </c>
      <c r="V28" s="34">
        <f>Monthly_log!U16</f>
        <v>1</v>
      </c>
      <c r="W28" s="34">
        <f>Monthly_log!V16</f>
        <v>0</v>
      </c>
      <c r="X28" s="34">
        <f>Monthly_log!W16</f>
        <v>1</v>
      </c>
      <c r="Y28" s="34">
        <f>Monthly_log!X16</f>
        <v>1</v>
      </c>
      <c r="Z28" s="34">
        <f>Monthly_log!Y16</f>
        <v>1</v>
      </c>
      <c r="AA28" s="34">
        <f>Monthly_log!Z16</f>
        <v>1</v>
      </c>
      <c r="AB28" s="34">
        <f>Monthly_log!AA16</f>
        <v>1</v>
      </c>
      <c r="AC28" s="34">
        <f>Monthly_log!AB16</f>
        <v>1</v>
      </c>
      <c r="AD28" s="34">
        <f>Monthly_log!AC16</f>
        <v>1</v>
      </c>
      <c r="AE28" s="34">
        <f>Monthly_log!AD16</f>
        <v>0</v>
      </c>
      <c r="AF28" s="34">
        <f>Monthly_log!AE16</f>
        <v>1</v>
      </c>
      <c r="AG28" s="34">
        <f>Monthly_log!AF16</f>
        <v>1</v>
      </c>
    </row>
    <row r="29" spans="1:33" ht="21.6" thickBot="1" x14ac:dyDescent="0.45">
      <c r="A29" s="26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2"/>
      <c r="AB29" s="33"/>
      <c r="AC29" s="33"/>
      <c r="AD29" s="33"/>
      <c r="AE29" s="33"/>
      <c r="AF29" s="33"/>
      <c r="AG29" s="33"/>
    </row>
    <row r="30" spans="1:33" ht="21" customHeight="1" x14ac:dyDescent="0.3">
      <c r="A30" s="26"/>
      <c r="B30" s="50" t="s">
        <v>63</v>
      </c>
      <c r="C30" s="52" t="s">
        <v>64</v>
      </c>
      <c r="D30" s="53"/>
      <c r="E30" s="53"/>
      <c r="F30" s="53"/>
      <c r="G30" s="53"/>
      <c r="H30" s="53"/>
      <c r="I30" s="53"/>
      <c r="J30" s="52" t="s">
        <v>65</v>
      </c>
      <c r="K30" s="53"/>
      <c r="L30" s="53"/>
      <c r="M30" s="53"/>
      <c r="N30" s="53"/>
      <c r="O30" s="53"/>
      <c r="P30" s="56"/>
      <c r="Q30" s="52" t="s">
        <v>66</v>
      </c>
      <c r="R30" s="53"/>
      <c r="S30" s="53"/>
      <c r="T30" s="53"/>
      <c r="U30" s="53"/>
      <c r="V30" s="53"/>
      <c r="W30" s="56"/>
      <c r="X30" s="52" t="s">
        <v>67</v>
      </c>
      <c r="Y30" s="53"/>
      <c r="Z30" s="53"/>
      <c r="AA30" s="53"/>
      <c r="AB30" s="53"/>
      <c r="AC30" s="53"/>
      <c r="AD30" s="56"/>
      <c r="AE30" s="53" t="s">
        <v>68</v>
      </c>
      <c r="AF30" s="53"/>
      <c r="AG30" s="56"/>
    </row>
    <row r="31" spans="1:33" ht="15" thickBot="1" x14ac:dyDescent="0.35">
      <c r="A31" s="26"/>
      <c r="B31" s="51"/>
      <c r="C31" s="54"/>
      <c r="D31" s="55"/>
      <c r="E31" s="55"/>
      <c r="F31" s="55"/>
      <c r="G31" s="55"/>
      <c r="H31" s="55"/>
      <c r="I31" s="55"/>
      <c r="J31" s="54"/>
      <c r="K31" s="55"/>
      <c r="L31" s="55"/>
      <c r="M31" s="55"/>
      <c r="N31" s="55"/>
      <c r="O31" s="55"/>
      <c r="P31" s="57"/>
      <c r="Q31" s="54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5"/>
      <c r="AD31" s="57"/>
      <c r="AE31" s="55"/>
      <c r="AF31" s="55"/>
      <c r="AG31" s="57"/>
    </row>
    <row r="32" spans="1:33" ht="14.4" customHeight="1" x14ac:dyDescent="0.3">
      <c r="A32" s="26"/>
      <c r="B32" s="51"/>
      <c r="C32" s="58">
        <f>Calculations!N2</f>
        <v>0.76923076923076927</v>
      </c>
      <c r="D32" s="59"/>
      <c r="E32" s="59"/>
      <c r="F32" s="59"/>
      <c r="G32" s="59"/>
      <c r="H32" s="59"/>
      <c r="I32" s="60"/>
      <c r="J32" s="63">
        <f>Calculations!N3</f>
        <v>0.69230769230769229</v>
      </c>
      <c r="K32" s="64"/>
      <c r="L32" s="64"/>
      <c r="M32" s="64"/>
      <c r="N32" s="64"/>
      <c r="O32" s="64"/>
      <c r="P32" s="65"/>
      <c r="Q32" s="72">
        <f>Calculations!N4</f>
        <v>0.72527472527472525</v>
      </c>
      <c r="R32" s="73"/>
      <c r="S32" s="73"/>
      <c r="T32" s="73"/>
      <c r="U32" s="73"/>
      <c r="V32" s="73"/>
      <c r="W32" s="74"/>
      <c r="X32" s="78">
        <f>Calculations!N5</f>
        <v>0.70329670329670335</v>
      </c>
      <c r="Y32" s="79"/>
      <c r="Z32" s="79"/>
      <c r="AA32" s="79"/>
      <c r="AB32" s="79"/>
      <c r="AC32" s="79"/>
      <c r="AD32" s="80"/>
      <c r="AE32" s="44">
        <f>Calculations!N6</f>
        <v>0.76923076923076927</v>
      </c>
      <c r="AF32" s="45"/>
      <c r="AG32" s="46"/>
    </row>
    <row r="33" spans="1:33" ht="14.4" customHeight="1" x14ac:dyDescent="0.3">
      <c r="A33" s="26"/>
      <c r="B33" s="51"/>
      <c r="C33" s="61"/>
      <c r="D33" s="61"/>
      <c r="E33" s="61"/>
      <c r="F33" s="61"/>
      <c r="G33" s="61"/>
      <c r="H33" s="61"/>
      <c r="I33" s="62"/>
      <c r="J33" s="66"/>
      <c r="K33" s="67"/>
      <c r="L33" s="67"/>
      <c r="M33" s="67"/>
      <c r="N33" s="67"/>
      <c r="O33" s="67"/>
      <c r="P33" s="68"/>
      <c r="Q33" s="75"/>
      <c r="R33" s="76"/>
      <c r="S33" s="76"/>
      <c r="T33" s="76"/>
      <c r="U33" s="76"/>
      <c r="V33" s="76"/>
      <c r="W33" s="77"/>
      <c r="X33" s="81"/>
      <c r="Y33" s="82"/>
      <c r="Z33" s="82"/>
      <c r="AA33" s="82"/>
      <c r="AB33" s="82"/>
      <c r="AC33" s="82"/>
      <c r="AD33" s="83"/>
      <c r="AE33" s="47"/>
      <c r="AF33" s="48"/>
      <c r="AG33" s="49"/>
    </row>
    <row r="34" spans="1:33" ht="14.4" customHeight="1" x14ac:dyDescent="0.3">
      <c r="A34" s="26"/>
      <c r="B34" s="51"/>
      <c r="C34" s="61"/>
      <c r="D34" s="61"/>
      <c r="E34" s="61"/>
      <c r="F34" s="61"/>
      <c r="G34" s="61"/>
      <c r="H34" s="61"/>
      <c r="I34" s="62"/>
      <c r="J34" s="66"/>
      <c r="K34" s="67"/>
      <c r="L34" s="67"/>
      <c r="M34" s="67"/>
      <c r="N34" s="67"/>
      <c r="O34" s="67"/>
      <c r="P34" s="68"/>
      <c r="Q34" s="75"/>
      <c r="R34" s="76"/>
      <c r="S34" s="76"/>
      <c r="T34" s="76"/>
      <c r="U34" s="76"/>
      <c r="V34" s="76"/>
      <c r="W34" s="77"/>
      <c r="X34" s="81"/>
      <c r="Y34" s="82"/>
      <c r="Z34" s="82"/>
      <c r="AA34" s="82"/>
      <c r="AB34" s="82"/>
      <c r="AC34" s="82"/>
      <c r="AD34" s="83"/>
      <c r="AE34" s="47"/>
      <c r="AF34" s="48"/>
      <c r="AG34" s="49"/>
    </row>
    <row r="35" spans="1:33" ht="14.4" customHeight="1" x14ac:dyDescent="0.3">
      <c r="A35" s="26"/>
      <c r="B35" s="51"/>
      <c r="C35" s="61"/>
      <c r="D35" s="61"/>
      <c r="E35" s="61"/>
      <c r="F35" s="61"/>
      <c r="G35" s="61"/>
      <c r="H35" s="61"/>
      <c r="I35" s="62"/>
      <c r="J35" s="66"/>
      <c r="K35" s="67"/>
      <c r="L35" s="67"/>
      <c r="M35" s="67"/>
      <c r="N35" s="67"/>
      <c r="O35" s="67"/>
      <c r="P35" s="68"/>
      <c r="Q35" s="75"/>
      <c r="R35" s="76"/>
      <c r="S35" s="76"/>
      <c r="T35" s="76"/>
      <c r="U35" s="76"/>
      <c r="V35" s="76"/>
      <c r="W35" s="77"/>
      <c r="X35" s="81"/>
      <c r="Y35" s="82"/>
      <c r="Z35" s="82"/>
      <c r="AA35" s="82"/>
      <c r="AB35" s="82"/>
      <c r="AC35" s="82"/>
      <c r="AD35" s="83"/>
      <c r="AE35" s="47"/>
      <c r="AF35" s="48"/>
      <c r="AG35" s="49"/>
    </row>
    <row r="36" spans="1:33" ht="14.4" customHeight="1" x14ac:dyDescent="0.3">
      <c r="A36" s="26"/>
      <c r="B36" s="51"/>
      <c r="C36" s="61"/>
      <c r="D36" s="61"/>
      <c r="E36" s="61"/>
      <c r="F36" s="61"/>
      <c r="G36" s="61"/>
      <c r="H36" s="61"/>
      <c r="I36" s="62"/>
      <c r="J36" s="66"/>
      <c r="K36" s="67"/>
      <c r="L36" s="67"/>
      <c r="M36" s="67"/>
      <c r="N36" s="67"/>
      <c r="O36" s="67"/>
      <c r="P36" s="68"/>
      <c r="Q36" s="75"/>
      <c r="R36" s="76"/>
      <c r="S36" s="76"/>
      <c r="T36" s="76"/>
      <c r="U36" s="76"/>
      <c r="V36" s="76"/>
      <c r="W36" s="77"/>
      <c r="X36" s="81"/>
      <c r="Y36" s="82"/>
      <c r="Z36" s="82"/>
      <c r="AA36" s="82"/>
      <c r="AB36" s="82"/>
      <c r="AC36" s="82"/>
      <c r="AD36" s="83"/>
      <c r="AE36" s="47"/>
      <c r="AF36" s="48"/>
      <c r="AG36" s="49"/>
    </row>
    <row r="37" spans="1:33" ht="15" customHeight="1" x14ac:dyDescent="0.3">
      <c r="A37" s="26"/>
      <c r="B37" s="51"/>
      <c r="C37" s="61"/>
      <c r="D37" s="61"/>
      <c r="E37" s="61"/>
      <c r="F37" s="61"/>
      <c r="G37" s="61"/>
      <c r="H37" s="61"/>
      <c r="I37" s="62"/>
      <c r="J37" s="69"/>
      <c r="K37" s="70"/>
      <c r="L37" s="70"/>
      <c r="M37" s="70"/>
      <c r="N37" s="70"/>
      <c r="O37" s="70"/>
      <c r="P37" s="71"/>
      <c r="Q37" s="75"/>
      <c r="R37" s="76"/>
      <c r="S37" s="76"/>
      <c r="T37" s="76"/>
      <c r="U37" s="76"/>
      <c r="V37" s="76"/>
      <c r="W37" s="77"/>
      <c r="X37" s="81"/>
      <c r="Y37" s="82"/>
      <c r="Z37" s="82"/>
      <c r="AA37" s="82"/>
      <c r="AB37" s="82"/>
      <c r="AC37" s="82"/>
      <c r="AD37" s="83"/>
      <c r="AE37" s="47"/>
      <c r="AF37" s="48"/>
      <c r="AG37" s="49"/>
    </row>
    <row r="38" spans="1:33" ht="30" customHeight="1" x14ac:dyDescent="0.3">
      <c r="A38" s="26"/>
      <c r="B38" s="42" t="s">
        <v>69</v>
      </c>
      <c r="C38" s="43">
        <f t="array" ref="C38:AG38">TRANSPOSE(Calculations!E2:E32)</f>
        <v>12</v>
      </c>
      <c r="D38" s="43">
        <v>9</v>
      </c>
      <c r="E38" s="43">
        <v>10</v>
      </c>
      <c r="F38" s="43">
        <v>11</v>
      </c>
      <c r="G38" s="43">
        <v>9</v>
      </c>
      <c r="H38" s="43">
        <v>10</v>
      </c>
      <c r="I38" s="43">
        <v>9</v>
      </c>
      <c r="J38" s="43">
        <v>8</v>
      </c>
      <c r="K38" s="43">
        <v>8</v>
      </c>
      <c r="L38" s="43">
        <v>9</v>
      </c>
      <c r="M38" s="43">
        <v>12</v>
      </c>
      <c r="N38" s="43">
        <v>8</v>
      </c>
      <c r="O38" s="43">
        <v>8</v>
      </c>
      <c r="P38" s="43">
        <v>10</v>
      </c>
      <c r="Q38" s="43">
        <v>9</v>
      </c>
      <c r="R38" s="43">
        <v>9</v>
      </c>
      <c r="S38" s="43">
        <v>9</v>
      </c>
      <c r="T38" s="43">
        <v>10</v>
      </c>
      <c r="U38" s="43">
        <v>9</v>
      </c>
      <c r="V38" s="43">
        <v>10</v>
      </c>
      <c r="W38" s="43">
        <v>10</v>
      </c>
      <c r="X38" s="43">
        <v>9</v>
      </c>
      <c r="Y38" s="43">
        <v>8</v>
      </c>
      <c r="Z38" s="43">
        <v>9</v>
      </c>
      <c r="AA38" s="43">
        <v>9</v>
      </c>
      <c r="AB38" s="43">
        <v>10</v>
      </c>
      <c r="AC38" s="43">
        <v>9</v>
      </c>
      <c r="AD38" s="43">
        <v>10</v>
      </c>
      <c r="AE38" s="43">
        <v>9</v>
      </c>
      <c r="AF38" s="43">
        <v>9</v>
      </c>
      <c r="AG38" s="43">
        <v>12</v>
      </c>
    </row>
    <row r="39" spans="1:33" ht="30" customHeight="1" x14ac:dyDescent="0.3">
      <c r="A39" s="26"/>
      <c r="B39" s="42" t="s">
        <v>70</v>
      </c>
      <c r="C39" s="43">
        <f t="array" ref="C39:AG39">TRANSPOSE(Calculations!F2:F32)</f>
        <v>1</v>
      </c>
      <c r="D39" s="43">
        <v>4</v>
      </c>
      <c r="E39" s="43">
        <v>3</v>
      </c>
      <c r="F39" s="43">
        <v>2</v>
      </c>
      <c r="G39" s="43">
        <v>4</v>
      </c>
      <c r="H39" s="43">
        <v>3</v>
      </c>
      <c r="I39" s="43">
        <v>4</v>
      </c>
      <c r="J39" s="43">
        <v>5</v>
      </c>
      <c r="K39" s="43">
        <v>5</v>
      </c>
      <c r="L39" s="43">
        <v>4</v>
      </c>
      <c r="M39" s="43">
        <v>1</v>
      </c>
      <c r="N39" s="43">
        <v>5</v>
      </c>
      <c r="O39" s="43">
        <v>5</v>
      </c>
      <c r="P39" s="43">
        <v>3</v>
      </c>
      <c r="Q39" s="43">
        <v>4</v>
      </c>
      <c r="R39" s="43">
        <v>4</v>
      </c>
      <c r="S39" s="43">
        <v>4</v>
      </c>
      <c r="T39" s="43">
        <v>3</v>
      </c>
      <c r="U39" s="43">
        <v>4</v>
      </c>
      <c r="V39" s="43">
        <v>3</v>
      </c>
      <c r="W39" s="43">
        <v>3</v>
      </c>
      <c r="X39" s="43">
        <v>4</v>
      </c>
      <c r="Y39" s="43">
        <v>5</v>
      </c>
      <c r="Z39" s="43">
        <v>4</v>
      </c>
      <c r="AA39" s="43">
        <v>4</v>
      </c>
      <c r="AB39" s="43">
        <v>3</v>
      </c>
      <c r="AC39" s="43">
        <v>4</v>
      </c>
      <c r="AD39" s="43">
        <v>3</v>
      </c>
      <c r="AE39" s="43">
        <v>4</v>
      </c>
      <c r="AF39" s="43">
        <v>4</v>
      </c>
      <c r="AG39" s="43">
        <v>1</v>
      </c>
    </row>
    <row r="40" spans="1:33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</row>
    <row r="43" spans="1:33" x14ac:dyDescent="0.3">
      <c r="M43" s="27"/>
    </row>
  </sheetData>
  <mergeCells count="16">
    <mergeCell ref="B2:F4"/>
    <mergeCell ref="B6:D7"/>
    <mergeCell ref="B8:D9"/>
    <mergeCell ref="E6:F7"/>
    <mergeCell ref="E8:F9"/>
    <mergeCell ref="AE32:AG37"/>
    <mergeCell ref="B30:B37"/>
    <mergeCell ref="C30:I31"/>
    <mergeCell ref="J30:P31"/>
    <mergeCell ref="Q30:W31"/>
    <mergeCell ref="X30:AD31"/>
    <mergeCell ref="AE30:AG31"/>
    <mergeCell ref="C32:I37"/>
    <mergeCell ref="J32:P37"/>
    <mergeCell ref="Q32:W37"/>
    <mergeCell ref="X32:AD37"/>
  </mergeCells>
  <conditionalFormatting sqref="C16:AG28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Setup</vt:lpstr>
      <vt:lpstr>Monthly_log</vt:lpstr>
      <vt:lpstr>Database</vt:lpstr>
      <vt:lpstr>Calculations</vt:lpstr>
      <vt:lpstr>Dashboard</vt:lpstr>
      <vt:lpstr>daily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Eha</dc:creator>
  <cp:keywords/>
  <dc:description/>
  <cp:lastModifiedBy>Eha</cp:lastModifiedBy>
  <cp:revision/>
  <dcterms:created xsi:type="dcterms:W3CDTF">2026-03-28T15:17:49Z</dcterms:created>
  <dcterms:modified xsi:type="dcterms:W3CDTF">2026-06-05T15:05:10Z</dcterms:modified>
  <cp:category/>
  <cp:contentStatus/>
</cp:coreProperties>
</file>